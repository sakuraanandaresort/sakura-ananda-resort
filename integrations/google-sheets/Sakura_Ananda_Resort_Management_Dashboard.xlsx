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eservations" sheetId="3" state="visible" r:id="rId3"/>
    <sheet xmlns:r="http://schemas.openxmlformats.org/officeDocument/2006/relationships" name="Email Log" sheetId="4" state="visible" r:id="rId4"/>
    <sheet xmlns:r="http://schemas.openxmlformats.org/officeDocument/2006/relationships" name="Daily View" sheetId="5" state="visible" r:id="rId5"/>
    <sheet xmlns:r="http://schemas.openxmlformats.org/officeDocument/2006/relationships" name="Room Occupa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₱#,##0.00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B08D57"/>
      <sz val="13"/>
    </font>
    <font>
      <b val="1"/>
      <color rgb="00FFFFFF"/>
    </font>
    <font>
      <b val="1"/>
      <color rgb="00B08D57"/>
    </font>
    <font>
      <i val="1"/>
      <color rgb="00333333"/>
    </font>
    <font>
      <b val="1"/>
      <color rgb="006B8E6B"/>
      <sz val="14"/>
    </font>
    <font>
      <b val="1"/>
      <color rgb="005B7FA3"/>
      <sz val="14"/>
    </font>
    <font>
      <b val="1"/>
      <color rgb="00333333"/>
      <sz val="22"/>
    </font>
    <font>
      <b val="1"/>
      <color rgb="00B08D57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6B8E6B"/>
      </patternFill>
    </fill>
    <fill>
      <patternFill patternType="solid">
        <fgColor rgb="00F7F2EA"/>
      </patternFill>
    </fill>
    <fill>
      <patternFill patternType="solid">
        <fgColor rgb="00D99A2B"/>
      </patternFill>
    </fill>
    <fill>
      <patternFill patternType="solid">
        <fgColor rgb="005B7FA3"/>
      </patternFill>
    </fill>
    <fill>
      <patternFill patternType="solid">
        <fgColor rgb="00E7E2DA"/>
      </patternFill>
    </fill>
    <fill>
      <patternFill patternType="solid">
        <fgColor rgb="00B85C5C"/>
      </patternFill>
    </fill>
  </fills>
  <borders count="2">
    <border>
      <left/>
      <right/>
      <top/>
      <bottom/>
      <diagonal/>
    </border>
    <border>
      <bottom style="thin">
        <color rgb="00D5CEC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F4D6D6"/>
        </patternFill>
      </fill>
    </dxf>
    <dxf>
      <fill>
        <patternFill patternType="solid">
          <fgColor rgb="00DDEBD7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D9E7F5"/>
        </patternFill>
      </fill>
    </dxf>
    <dxf>
      <fill>
        <patternFill patternType="solid">
          <fgColor rgb="00E7E2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'Dashboard'!$J$6:$J$10</f>
            </numRef>
          </cat>
          <val>
            <numRef>
              <f>'Dashboard'!$K$6:$K$10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ervationsTable" displayName="ReservationsTable" ref="A3:S503" headerRowCount="1">
  <autoFilter ref="A3:S503"/>
  <tableColumns count="19">
    <tableColumn id="1" name="Booking ID"/>
    <tableColumn id="2" name="Guest Name"/>
    <tableColumn id="3" name="Email"/>
    <tableColumn id="4" name="Mobile"/>
    <tableColumn id="5" name="Room"/>
    <tableColumn id="6" name="Check-in"/>
    <tableColumn id="7" name="Check-out"/>
    <tableColumn id="8" name="Guests"/>
    <tableColumn id="9" name="Rate/Night"/>
    <tableColumn id="10" name="Nights"/>
    <tableColumn id="11" name="Room Total"/>
    <tableColumn id="12" name="Deposit"/>
    <tableColumn id="13" name="Balance"/>
    <tableColumn id="14" name="Payment Method"/>
    <tableColumn id="15" name="Payment Ref"/>
    <tableColumn id="16" name="Status"/>
    <tableColumn id="17" name="Special Requests"/>
    <tableColumn id="18" name="Created At"/>
    <tableColumn id="19" name="Email S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22" customWidth="1" min="6" max="6"/>
    <col width="18" customWidth="1" min="7" max="7"/>
    <col width="18" customWidth="1" min="8" max="8"/>
    <col hidden="1" width="13" customWidth="1" min="10" max="10"/>
    <col hidden="1" width="13" customWidth="1" min="11" max="11"/>
  </cols>
  <sheetData>
    <row r="1" ht="34" customHeight="1">
      <c r="A1" s="1" t="inlineStr">
        <is>
          <t>Sakura Ananda Resort — Management Dashboard</t>
        </is>
      </c>
    </row>
    <row r="2"/>
    <row r="3">
      <c r="A3" s="2" t="inlineStr">
        <is>
          <t>Dashboard Date</t>
        </is>
      </c>
      <c r="B3" s="3">
        <f>TODAY()</f>
        <v/>
      </c>
    </row>
    <row r="4"/>
    <row r="5">
      <c r="A5" s="4" t="inlineStr">
        <is>
          <t>Available Rooms</t>
        </is>
      </c>
      <c r="C5" s="5" t="inlineStr">
        <is>
          <t>Pending</t>
        </is>
      </c>
      <c r="E5" s="4" t="inlineStr">
        <is>
          <t>Confirmed</t>
        </is>
      </c>
      <c r="G5" s="6" t="inlineStr">
        <is>
          <t>Checked-in</t>
        </is>
      </c>
      <c r="J5" s="7" t="inlineStr">
        <is>
          <t>Status</t>
        </is>
      </c>
      <c r="K5" s="7" t="inlineStr">
        <is>
          <t>Count</t>
        </is>
      </c>
    </row>
    <row r="6">
      <c r="A6" s="8">
        <f>COUNTIF('Room Occupancy'!D6:D9,"AVAILABLE")</f>
        <v/>
      </c>
      <c r="C6" s="8">
        <f>COUNTIF(Reservations!P4:P503,"Pending")</f>
        <v/>
      </c>
      <c r="E6" s="8">
        <f>COUNTIF(Reservations!P4:P503,"Confirmed")</f>
        <v/>
      </c>
      <c r="G6" s="8">
        <f>COUNTIF(Reservations!P4:P503,"Checked-in")</f>
        <v/>
      </c>
      <c r="J6" s="7" t="inlineStr">
        <is>
          <t>Pending</t>
        </is>
      </c>
      <c r="K6" s="7">
        <f>COUNTIF(Reservations!P4:P503,J6)</f>
        <v/>
      </c>
    </row>
    <row r="7">
      <c r="J7" s="7" t="inlineStr">
        <is>
          <t>Confirmed</t>
        </is>
      </c>
      <c r="K7" s="7">
        <f>COUNTIF(Reservations!P4:P503,J7)</f>
        <v/>
      </c>
    </row>
    <row r="8">
      <c r="J8" s="7" t="inlineStr">
        <is>
          <t>Checked-in</t>
        </is>
      </c>
      <c r="K8" s="7">
        <f>COUNTIF(Reservations!P4:P503,J8)</f>
        <v/>
      </c>
    </row>
    <row r="9">
      <c r="A9" s="9" t="inlineStr">
        <is>
          <t>Checked-out</t>
        </is>
      </c>
      <c r="C9" s="10" t="inlineStr">
        <is>
          <t>Cancelled</t>
        </is>
      </c>
      <c r="E9" s="4" t="inlineStr">
        <is>
          <t>Today's Arrivals</t>
        </is>
      </c>
      <c r="G9" s="6" t="inlineStr">
        <is>
          <t>Today's Departures</t>
        </is>
      </c>
      <c r="J9" s="7" t="inlineStr">
        <is>
          <t>Checked-out</t>
        </is>
      </c>
      <c r="K9" s="7">
        <f>COUNTIF(Reservations!P4:P503,J9)</f>
        <v/>
      </c>
    </row>
    <row r="10">
      <c r="A10" s="8">
        <f>COUNTIF(Reservations!P4:P503,"Checked-out")</f>
        <v/>
      </c>
      <c r="C10" s="8">
        <f>COUNTIF(Reservations!P4:P503,"Cancelled")</f>
        <v/>
      </c>
      <c r="E10" s="8">
        <f>COUNTIFS(Reservations!F4:F503,$B$3,Reservations!P4:P503,"&lt;&gt;Cancelled")</f>
        <v/>
      </c>
      <c r="G10" s="8">
        <f>COUNTIFS(Reservations!G4:G503,$B$3,Reservations!P4:P503,"&lt;&gt;Cancelled")</f>
        <v/>
      </c>
      <c r="J10" s="7" t="inlineStr">
        <is>
          <t>Cancelled</t>
        </is>
      </c>
      <c r="K10" s="7">
        <f>COUNTIF(Reservations!P4:P503,J10)</f>
        <v/>
      </c>
    </row>
    <row r="11"/>
    <row r="12"/>
    <row r="13"/>
    <row r="14">
      <c r="A14" s="11" t="inlineStr">
        <is>
          <t>Room Occupancy Today</t>
        </is>
      </c>
      <c r="F14" s="11" t="inlineStr">
        <is>
          <t>Financial Snapshot</t>
        </is>
      </c>
    </row>
    <row r="15">
      <c r="A15" s="12" t="inlineStr">
        <is>
          <t>Room</t>
        </is>
      </c>
      <c r="B15" s="12" t="inlineStr">
        <is>
          <t>Status</t>
        </is>
      </c>
      <c r="C15" s="12" t="inlineStr">
        <is>
          <t>Guest</t>
        </is>
      </c>
      <c r="D15" s="12" t="inlineStr">
        <is>
          <t>Check-out</t>
        </is>
      </c>
      <c r="F15" s="13" t="inlineStr">
        <is>
          <t>Room Revenue</t>
        </is>
      </c>
      <c r="G15" s="14">
        <f>SUM(Reservations!K4:K503)</f>
        <v/>
      </c>
    </row>
    <row r="16">
      <c r="A16" s="7">
        <f>'Room Occupancy'!A6</f>
        <v/>
      </c>
      <c r="B16" s="7">
        <f>'Room Occupancy'!D6</f>
        <v/>
      </c>
      <c r="C16" s="7">
        <f>'Room Occupancy'!E6</f>
        <v/>
      </c>
      <c r="D16" s="3">
        <f>'Room Occupancy'!H6</f>
        <v/>
      </c>
      <c r="F16" s="13" t="inlineStr">
        <is>
          <t>Deposits Collected</t>
        </is>
      </c>
      <c r="G16" s="14">
        <f>SUM(Reservations!L4:L503)</f>
        <v/>
      </c>
    </row>
    <row r="17">
      <c r="A17" s="7">
        <f>'Room Occupancy'!A7</f>
        <v/>
      </c>
      <c r="B17" s="7">
        <f>'Room Occupancy'!D7</f>
        <v/>
      </c>
      <c r="C17" s="7">
        <f>'Room Occupancy'!E7</f>
        <v/>
      </c>
      <c r="D17" s="3">
        <f>'Room Occupancy'!H7</f>
        <v/>
      </c>
      <c r="F17" s="13" t="inlineStr">
        <is>
          <t>Outstanding Balance</t>
        </is>
      </c>
      <c r="G17" s="14">
        <f>SUM(Reservations!M4:M503)</f>
        <v/>
      </c>
    </row>
    <row r="18">
      <c r="A18" s="7">
        <f>'Room Occupancy'!A8</f>
        <v/>
      </c>
      <c r="B18" s="7">
        <f>'Room Occupancy'!D8</f>
        <v/>
      </c>
      <c r="C18" s="7">
        <f>'Room Occupancy'!E8</f>
        <v/>
      </c>
      <c r="D18" s="3">
        <f>'Room Occupancy'!H8</f>
        <v/>
      </c>
    </row>
    <row r="19">
      <c r="A19" s="7">
        <f>'Room Occupancy'!A9</f>
        <v/>
      </c>
      <c r="B19" s="7">
        <f>'Room Occupancy'!D9</f>
        <v/>
      </c>
      <c r="C19" s="7">
        <f>'Room Occupancy'!E9</f>
        <v/>
      </c>
      <c r="D19" s="3">
        <f>'Room Occupancy'!H9</f>
        <v/>
      </c>
    </row>
    <row r="20"/>
    <row r="21"/>
    <row r="22">
      <c r="A22" s="11" t="inlineStr">
        <is>
          <t>Daily Operations</t>
        </is>
      </c>
    </row>
    <row r="23">
      <c r="A23" s="7" t="inlineStr">
        <is>
          <t>Open Daily View →</t>
        </is>
      </c>
      <c r="B23" s="7" t="inlineStr">
        <is>
          <t>Change the date in Daily View!B3 to see arrivals and departures.</t>
        </is>
      </c>
    </row>
    <row r="27">
      <c r="A27" s="15" t="inlineStr">
        <is>
          <t>Workflow</t>
        </is>
      </c>
    </row>
    <row r="28">
      <c r="A28" t="inlineStr">
        <is>
          <t>1) Website writes reservations to Supabase.</t>
        </is>
      </c>
    </row>
    <row r="29">
      <c r="A29" t="inlineStr">
        <is>
          <t>2) Supabase webhook sends the reservation to Google Apps Script.</t>
        </is>
      </c>
    </row>
    <row r="30">
      <c r="A30" t="inlineStr">
        <is>
          <t>3) Apps Script writes/syncs the row to this sheet and emails the guest.</t>
        </is>
      </c>
    </row>
    <row r="31">
      <c r="A31" t="inlineStr">
        <is>
          <t>4) Staff changes Status here; the dashboard updates automatically.</t>
        </is>
      </c>
    </row>
    <row r="32">
      <c r="A32" t="inlineStr">
        <is>
          <t>5) Room Occupancy and Daily View update from the reservation dates/status.</t>
        </is>
      </c>
    </row>
  </sheetData>
  <mergeCells count="17">
    <mergeCell ref="E6:F6"/>
    <mergeCell ref="C6:D6"/>
    <mergeCell ref="C10:D10"/>
    <mergeCell ref="E10:F10"/>
    <mergeCell ref="G10:H10"/>
    <mergeCell ref="C5:D5"/>
    <mergeCell ref="A5:B5"/>
    <mergeCell ref="G5:H5"/>
    <mergeCell ref="E5:F5"/>
    <mergeCell ref="A10:B10"/>
    <mergeCell ref="C9:D9"/>
    <mergeCell ref="G6:H6"/>
    <mergeCell ref="A1:H1"/>
    <mergeCell ref="A9:B9"/>
    <mergeCell ref="G9:H9"/>
    <mergeCell ref="E9:F9"/>
    <mergeCell ref="A6:B6"/>
  </mergeCells>
  <conditionalFormatting sqref="B16:B19">
    <cfRule type="expression" priority="1" dxfId="0">
      <formula>B16="OCCUPIED"</formula>
    </cfRule>
    <cfRule type="expression" priority="2" dxfId="1">
      <formula>B16="AVAILABLE"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12" customWidth="1" min="5" max="5"/>
    <col width="18" customWidth="1" min="7" max="7"/>
  </cols>
  <sheetData>
    <row r="1" ht="34" customHeight="1">
      <c r="A1" s="1" t="inlineStr">
        <is>
          <t>Sakura Ananda Resort — Settings</t>
        </is>
      </c>
    </row>
    <row r="2"/>
    <row r="3">
      <c r="A3" s="16" t="inlineStr">
        <is>
          <t>Rooms</t>
        </is>
      </c>
      <c r="G3" s="16" t="inlineStr">
        <is>
          <t>Status List</t>
        </is>
      </c>
    </row>
    <row r="4">
      <c r="G4" s="7" t="inlineStr">
        <is>
          <t>Pending</t>
        </is>
      </c>
    </row>
    <row r="5">
      <c r="A5" s="12" t="inlineStr">
        <is>
          <t>Room ID</t>
        </is>
      </c>
      <c r="B5" s="12" t="inlineStr">
        <is>
          <t>Room Name</t>
        </is>
      </c>
      <c r="C5" s="12" t="inlineStr">
        <is>
          <t>Rate / Night</t>
        </is>
      </c>
      <c r="D5" s="12" t="inlineStr">
        <is>
          <t>Capacity</t>
        </is>
      </c>
      <c r="E5" s="12" t="inlineStr">
        <is>
          <t>Active</t>
        </is>
      </c>
      <c r="F5" s="17" t="n"/>
      <c r="G5" s="18" t="inlineStr">
        <is>
          <t>Confirmed</t>
        </is>
      </c>
      <c r="H5" s="17" t="n"/>
    </row>
    <row r="6">
      <c r="A6" s="19" t="inlineStr">
        <is>
          <t>R1</t>
        </is>
      </c>
      <c r="B6" s="19" t="inlineStr">
        <is>
          <t>Room 1</t>
        </is>
      </c>
      <c r="C6" s="19" t="n">
        <v>2500</v>
      </c>
      <c r="D6" s="19" t="n">
        <v>2</v>
      </c>
      <c r="E6" s="19" t="inlineStr">
        <is>
          <t>YES</t>
        </is>
      </c>
      <c r="G6" s="7" t="inlineStr">
        <is>
          <t>Checked-in</t>
        </is>
      </c>
    </row>
    <row r="7">
      <c r="A7" s="19" t="inlineStr">
        <is>
          <t>R2</t>
        </is>
      </c>
      <c r="B7" s="19" t="inlineStr">
        <is>
          <t>Room 2</t>
        </is>
      </c>
      <c r="C7" s="19" t="n">
        <v>2500</v>
      </c>
      <c r="D7" s="19" t="n">
        <v>2</v>
      </c>
      <c r="E7" s="19" t="inlineStr">
        <is>
          <t>YES</t>
        </is>
      </c>
      <c r="G7" s="7" t="inlineStr">
        <is>
          <t>Checked-out</t>
        </is>
      </c>
    </row>
    <row r="8">
      <c r="A8" s="19" t="inlineStr">
        <is>
          <t>R3</t>
        </is>
      </c>
      <c r="B8" s="19" t="inlineStr">
        <is>
          <t>Room 3</t>
        </is>
      </c>
      <c r="C8" s="19" t="n">
        <v>3000</v>
      </c>
      <c r="D8" s="19" t="n">
        <v>4</v>
      </c>
      <c r="E8" s="19" t="inlineStr">
        <is>
          <t>YES</t>
        </is>
      </c>
      <c r="G8" s="7" t="inlineStr">
        <is>
          <t>Cancelled</t>
        </is>
      </c>
    </row>
    <row r="9">
      <c r="A9" s="19" t="inlineStr">
        <is>
          <t>R4</t>
        </is>
      </c>
      <c r="B9" s="19" t="inlineStr">
        <is>
          <t>Room 4</t>
        </is>
      </c>
      <c r="C9" s="19" t="n">
        <v>3500</v>
      </c>
      <c r="D9" s="19" t="n">
        <v>4</v>
      </c>
      <c r="E9" s="19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7" customWidth="1" min="4" max="4"/>
    <col width="18" customWidth="1" min="5" max="5"/>
    <col width="13" customWidth="1" min="6" max="6"/>
    <col width="13" customWidth="1" min="7" max="7"/>
    <col width="9" customWidth="1" min="8" max="8"/>
    <col width="14" customWidth="1" min="9" max="9"/>
    <col width="10" customWidth="1" min="10" max="10"/>
    <col width="14" customWidth="1" min="11" max="11"/>
    <col width="14" customWidth="1" min="12" max="12"/>
    <col width="14" customWidth="1" min="13" max="13"/>
    <col width="18" customWidth="1" min="14" max="14"/>
    <col width="18" customWidth="1" min="15" max="15"/>
    <col width="16" customWidth="1" min="16" max="16"/>
    <col width="28" customWidth="1" min="17" max="17"/>
    <col width="20" customWidth="1" min="18" max="18"/>
    <col width="12" customWidth="1" min="19" max="19"/>
  </cols>
  <sheetData>
    <row r="1" ht="34" customHeight="1">
      <c r="A1" s="1" t="inlineStr">
        <is>
          <t>Reservations</t>
        </is>
      </c>
    </row>
    <row r="2"/>
    <row r="3">
      <c r="A3" s="12" t="inlineStr">
        <is>
          <t>Booking ID</t>
        </is>
      </c>
      <c r="B3" s="12" t="inlineStr">
        <is>
          <t>Guest Name</t>
        </is>
      </c>
      <c r="C3" s="12" t="inlineStr">
        <is>
          <t>Email</t>
        </is>
      </c>
      <c r="D3" s="12" t="inlineStr">
        <is>
          <t>Mobile</t>
        </is>
      </c>
      <c r="E3" s="12" t="inlineStr">
        <is>
          <t>Room</t>
        </is>
      </c>
      <c r="F3" s="12" t="inlineStr">
        <is>
          <t>Check-in</t>
        </is>
      </c>
      <c r="G3" s="12" t="inlineStr">
        <is>
          <t>Check-out</t>
        </is>
      </c>
      <c r="H3" s="12" t="inlineStr">
        <is>
          <t>Guests</t>
        </is>
      </c>
      <c r="I3" s="12" t="inlineStr">
        <is>
          <t>Rate/Night</t>
        </is>
      </c>
      <c r="J3" s="12" t="inlineStr">
        <is>
          <t>Nights</t>
        </is>
      </c>
      <c r="K3" s="12" t="inlineStr">
        <is>
          <t>Room Total</t>
        </is>
      </c>
      <c r="L3" s="12" t="inlineStr">
        <is>
          <t>Deposit</t>
        </is>
      </c>
      <c r="M3" s="12" t="inlineStr">
        <is>
          <t>Balance</t>
        </is>
      </c>
      <c r="N3" s="12" t="inlineStr">
        <is>
          <t>Payment Method</t>
        </is>
      </c>
      <c r="O3" s="12" t="inlineStr">
        <is>
          <t>Payment Ref</t>
        </is>
      </c>
      <c r="P3" s="12" t="inlineStr">
        <is>
          <t>Status</t>
        </is>
      </c>
      <c r="Q3" s="12" t="inlineStr">
        <is>
          <t>Special Requests</t>
        </is>
      </c>
      <c r="R3" s="12" t="inlineStr">
        <is>
          <t>Created At</t>
        </is>
      </c>
      <c r="S3" s="12" t="inlineStr">
        <is>
          <t>Email Sent</t>
        </is>
      </c>
    </row>
    <row r="4">
      <c r="A4" s="20" t="n"/>
      <c r="B4" s="20" t="n"/>
      <c r="C4" s="20" t="n"/>
      <c r="D4" s="20" t="n"/>
      <c r="E4" s="20" t="n"/>
      <c r="F4" s="21" t="n"/>
      <c r="G4" s="21" t="n"/>
      <c r="H4" s="20" t="n"/>
      <c r="I4" s="22" t="n"/>
      <c r="J4" s="19">
        <f>IF(OR(F4="",G4=""),"",MAX(0,G4-F4))</f>
        <v/>
      </c>
      <c r="K4" s="23">
        <f>IF(OR(I4="",J4=""),"",I4*J4)</f>
        <v/>
      </c>
      <c r="L4" s="22" t="n"/>
      <c r="M4" s="23">
        <f>IF(K4="","",MAX(0,K4-IF(L4="",0,L4)))</f>
        <v/>
      </c>
      <c r="N4" s="20" t="n"/>
      <c r="O4" s="20" t="n"/>
      <c r="P4" s="20" t="n"/>
      <c r="Q4" s="20" t="n"/>
      <c r="R4" s="20" t="n"/>
      <c r="S4" s="19">
        <f>IF(A4="","",IF(COUNTIF('Email Log'!B:B,A4)&gt;0,"YES","NO"))</f>
        <v/>
      </c>
    </row>
    <row r="5">
      <c r="A5" s="20" t="n"/>
      <c r="B5" s="20" t="n"/>
      <c r="C5" s="20" t="n"/>
      <c r="D5" s="20" t="n"/>
      <c r="E5" s="20" t="n"/>
      <c r="F5" s="21" t="n"/>
      <c r="G5" s="21" t="n"/>
      <c r="H5" s="20" t="n"/>
      <c r="I5" s="22" t="n"/>
      <c r="J5" s="19">
        <f>IF(OR(F5="",G5=""),"",MAX(0,G5-F5))</f>
        <v/>
      </c>
      <c r="K5" s="23">
        <f>IF(OR(I5="",J5=""),"",I5*J5)</f>
        <v/>
      </c>
      <c r="L5" s="22" t="n"/>
      <c r="M5" s="23">
        <f>IF(K5="","",MAX(0,K5-IF(L5="",0,L5)))</f>
        <v/>
      </c>
      <c r="N5" s="20" t="n"/>
      <c r="O5" s="20" t="n"/>
      <c r="P5" s="20" t="n"/>
      <c r="Q5" s="20" t="n"/>
      <c r="R5" s="20" t="n"/>
      <c r="S5" s="19">
        <f>IF(A5="","",IF(COUNTIF('Email Log'!B:B,A5)&gt;0,"YES","NO"))</f>
        <v/>
      </c>
    </row>
    <row r="6">
      <c r="A6" s="20" t="n"/>
      <c r="B6" s="20" t="n"/>
      <c r="C6" s="20" t="n"/>
      <c r="D6" s="20" t="n"/>
      <c r="E6" s="20" t="n"/>
      <c r="F6" s="21" t="n"/>
      <c r="G6" s="21" t="n"/>
      <c r="H6" s="20" t="n"/>
      <c r="I6" s="22" t="n"/>
      <c r="J6" s="19">
        <f>IF(OR(F6="",G6=""),"",MAX(0,G6-F6))</f>
        <v/>
      </c>
      <c r="K6" s="23">
        <f>IF(OR(I6="",J6=""),"",I6*J6)</f>
        <v/>
      </c>
      <c r="L6" s="22" t="n"/>
      <c r="M6" s="23">
        <f>IF(K6="","",MAX(0,K6-IF(L6="",0,L6)))</f>
        <v/>
      </c>
      <c r="N6" s="20" t="n"/>
      <c r="O6" s="20" t="n"/>
      <c r="P6" s="20" t="n"/>
      <c r="Q6" s="20" t="n"/>
      <c r="R6" s="20" t="n"/>
      <c r="S6" s="19">
        <f>IF(A6="","",IF(COUNTIF('Email Log'!B:B,A6)&gt;0,"YES","NO"))</f>
        <v/>
      </c>
    </row>
    <row r="7">
      <c r="A7" s="20" t="n"/>
      <c r="B7" s="20" t="n"/>
      <c r="C7" s="20" t="n"/>
      <c r="D7" s="20" t="n"/>
      <c r="E7" s="20" t="n"/>
      <c r="F7" s="21" t="n"/>
      <c r="G7" s="21" t="n"/>
      <c r="H7" s="20" t="n"/>
      <c r="I7" s="22" t="n"/>
      <c r="J7" s="19">
        <f>IF(OR(F7="",G7=""),"",MAX(0,G7-F7))</f>
        <v/>
      </c>
      <c r="K7" s="23">
        <f>IF(OR(I7="",J7=""),"",I7*J7)</f>
        <v/>
      </c>
      <c r="L7" s="22" t="n"/>
      <c r="M7" s="23">
        <f>IF(K7="","",MAX(0,K7-IF(L7="",0,L7)))</f>
        <v/>
      </c>
      <c r="N7" s="20" t="n"/>
      <c r="O7" s="20" t="n"/>
      <c r="P7" s="20" t="n"/>
      <c r="Q7" s="20" t="n"/>
      <c r="R7" s="20" t="n"/>
      <c r="S7" s="19">
        <f>IF(A7="","",IF(COUNTIF('Email Log'!B:B,A7)&gt;0,"YES","NO"))</f>
        <v/>
      </c>
    </row>
    <row r="8">
      <c r="A8" s="20" t="n"/>
      <c r="B8" s="20" t="n"/>
      <c r="C8" s="20" t="n"/>
      <c r="D8" s="20" t="n"/>
      <c r="E8" s="20" t="n"/>
      <c r="F8" s="21" t="n"/>
      <c r="G8" s="21" t="n"/>
      <c r="H8" s="20" t="n"/>
      <c r="I8" s="22" t="n"/>
      <c r="J8" s="19">
        <f>IF(OR(F8="",G8=""),"",MAX(0,G8-F8))</f>
        <v/>
      </c>
      <c r="K8" s="23">
        <f>IF(OR(I8="",J8=""),"",I8*J8)</f>
        <v/>
      </c>
      <c r="L8" s="22" t="n"/>
      <c r="M8" s="23">
        <f>IF(K8="","",MAX(0,K8-IF(L8="",0,L8)))</f>
        <v/>
      </c>
      <c r="N8" s="20" t="n"/>
      <c r="O8" s="20" t="n"/>
      <c r="P8" s="20" t="n"/>
      <c r="Q8" s="20" t="n"/>
      <c r="R8" s="20" t="n"/>
      <c r="S8" s="19">
        <f>IF(A8="","",IF(COUNTIF('Email Log'!B:B,A8)&gt;0,"YES","NO"))</f>
        <v/>
      </c>
    </row>
    <row r="9">
      <c r="A9" s="20" t="n"/>
      <c r="B9" s="20" t="n"/>
      <c r="C9" s="20" t="n"/>
      <c r="D9" s="20" t="n"/>
      <c r="E9" s="20" t="n"/>
      <c r="F9" s="21" t="n"/>
      <c r="G9" s="21" t="n"/>
      <c r="H9" s="20" t="n"/>
      <c r="I9" s="22" t="n"/>
      <c r="J9" s="19">
        <f>IF(OR(F9="",G9=""),"",MAX(0,G9-F9))</f>
        <v/>
      </c>
      <c r="K9" s="23">
        <f>IF(OR(I9="",J9=""),"",I9*J9)</f>
        <v/>
      </c>
      <c r="L9" s="22" t="n"/>
      <c r="M9" s="23">
        <f>IF(K9="","",MAX(0,K9-IF(L9="",0,L9)))</f>
        <v/>
      </c>
      <c r="N9" s="20" t="n"/>
      <c r="O9" s="20" t="n"/>
      <c r="P9" s="20" t="n"/>
      <c r="Q9" s="20" t="n"/>
      <c r="R9" s="20" t="n"/>
      <c r="S9" s="19">
        <f>IF(A9="","",IF(COUNTIF('Email Log'!B:B,A9)&gt;0,"YES","NO"))</f>
        <v/>
      </c>
    </row>
    <row r="10">
      <c r="A10" s="20" t="n"/>
      <c r="B10" s="20" t="n"/>
      <c r="C10" s="20" t="n"/>
      <c r="D10" s="20" t="n"/>
      <c r="E10" s="20" t="n"/>
      <c r="F10" s="21" t="n"/>
      <c r="G10" s="21" t="n"/>
      <c r="H10" s="20" t="n"/>
      <c r="I10" s="22" t="n"/>
      <c r="J10" s="19">
        <f>IF(OR(F10="",G10=""),"",MAX(0,G10-F10))</f>
        <v/>
      </c>
      <c r="K10" s="23">
        <f>IF(OR(I10="",J10=""),"",I10*J10)</f>
        <v/>
      </c>
      <c r="L10" s="22" t="n"/>
      <c r="M10" s="23">
        <f>IF(K10="","",MAX(0,K10-IF(L10="",0,L10)))</f>
        <v/>
      </c>
      <c r="N10" s="20" t="n"/>
      <c r="O10" s="20" t="n"/>
      <c r="P10" s="20" t="n"/>
      <c r="Q10" s="20" t="n"/>
      <c r="R10" s="20" t="n"/>
      <c r="S10" s="19">
        <f>IF(A10="","",IF(COUNTIF('Email Log'!B:B,A10)&gt;0,"YES","NO"))</f>
        <v/>
      </c>
    </row>
    <row r="11">
      <c r="A11" s="20" t="n"/>
      <c r="B11" s="20" t="n"/>
      <c r="C11" s="20" t="n"/>
      <c r="D11" s="20" t="n"/>
      <c r="E11" s="20" t="n"/>
      <c r="F11" s="21" t="n"/>
      <c r="G11" s="21" t="n"/>
      <c r="H11" s="20" t="n"/>
      <c r="I11" s="22" t="n"/>
      <c r="J11" s="19">
        <f>IF(OR(F11="",G11=""),"",MAX(0,G11-F11))</f>
        <v/>
      </c>
      <c r="K11" s="23">
        <f>IF(OR(I11="",J11=""),"",I11*J11)</f>
        <v/>
      </c>
      <c r="L11" s="22" t="n"/>
      <c r="M11" s="23">
        <f>IF(K11="","",MAX(0,K11-IF(L11="",0,L11)))</f>
        <v/>
      </c>
      <c r="N11" s="20" t="n"/>
      <c r="O11" s="20" t="n"/>
      <c r="P11" s="20" t="n"/>
      <c r="Q11" s="20" t="n"/>
      <c r="R11" s="20" t="n"/>
      <c r="S11" s="19">
        <f>IF(A11="","",IF(COUNTIF('Email Log'!B:B,A11)&gt;0,"YES","NO"))</f>
        <v/>
      </c>
    </row>
    <row r="12">
      <c r="A12" s="20" t="n"/>
      <c r="B12" s="20" t="n"/>
      <c r="C12" s="20" t="n"/>
      <c r="D12" s="20" t="n"/>
      <c r="E12" s="20" t="n"/>
      <c r="F12" s="21" t="n"/>
      <c r="G12" s="21" t="n"/>
      <c r="H12" s="20" t="n"/>
      <c r="I12" s="22" t="n"/>
      <c r="J12" s="19">
        <f>IF(OR(F12="",G12=""),"",MAX(0,G12-F12))</f>
        <v/>
      </c>
      <c r="K12" s="23">
        <f>IF(OR(I12="",J12=""),"",I12*J12)</f>
        <v/>
      </c>
      <c r="L12" s="22" t="n"/>
      <c r="M12" s="23">
        <f>IF(K12="","",MAX(0,K12-IF(L12="",0,L12)))</f>
        <v/>
      </c>
      <c r="N12" s="20" t="n"/>
      <c r="O12" s="20" t="n"/>
      <c r="P12" s="20" t="n"/>
      <c r="Q12" s="20" t="n"/>
      <c r="R12" s="20" t="n"/>
      <c r="S12" s="19">
        <f>IF(A12="","",IF(COUNTIF('Email Log'!B:B,A12)&gt;0,"YES","NO"))</f>
        <v/>
      </c>
    </row>
    <row r="13">
      <c r="A13" s="20" t="n"/>
      <c r="B13" s="20" t="n"/>
      <c r="C13" s="20" t="n"/>
      <c r="D13" s="20" t="n"/>
      <c r="E13" s="20" t="n"/>
      <c r="F13" s="21" t="n"/>
      <c r="G13" s="21" t="n"/>
      <c r="H13" s="20" t="n"/>
      <c r="I13" s="22" t="n"/>
      <c r="J13" s="19">
        <f>IF(OR(F13="",G13=""),"",MAX(0,G13-F13))</f>
        <v/>
      </c>
      <c r="K13" s="23">
        <f>IF(OR(I13="",J13=""),"",I13*J13)</f>
        <v/>
      </c>
      <c r="L13" s="22" t="n"/>
      <c r="M13" s="23">
        <f>IF(K13="","",MAX(0,K13-IF(L13="",0,L13)))</f>
        <v/>
      </c>
      <c r="N13" s="20" t="n"/>
      <c r="O13" s="20" t="n"/>
      <c r="P13" s="20" t="n"/>
      <c r="Q13" s="20" t="n"/>
      <c r="R13" s="20" t="n"/>
      <c r="S13" s="19">
        <f>IF(A13="","",IF(COUNTIF('Email Log'!B:B,A13)&gt;0,"YES","NO"))</f>
        <v/>
      </c>
    </row>
    <row r="14">
      <c r="A14" s="20" t="n"/>
      <c r="B14" s="20" t="n"/>
      <c r="C14" s="20" t="n"/>
      <c r="D14" s="20" t="n"/>
      <c r="E14" s="20" t="n"/>
      <c r="F14" s="21" t="n"/>
      <c r="G14" s="21" t="n"/>
      <c r="H14" s="20" t="n"/>
      <c r="I14" s="22" t="n"/>
      <c r="J14" s="19">
        <f>IF(OR(F14="",G14=""),"",MAX(0,G14-F14))</f>
        <v/>
      </c>
      <c r="K14" s="23">
        <f>IF(OR(I14="",J14=""),"",I14*J14)</f>
        <v/>
      </c>
      <c r="L14" s="22" t="n"/>
      <c r="M14" s="23">
        <f>IF(K14="","",MAX(0,K14-IF(L14="",0,L14)))</f>
        <v/>
      </c>
      <c r="N14" s="20" t="n"/>
      <c r="O14" s="20" t="n"/>
      <c r="P14" s="20" t="n"/>
      <c r="Q14" s="20" t="n"/>
      <c r="R14" s="20" t="n"/>
      <c r="S14" s="19">
        <f>IF(A14="","",IF(COUNTIF('Email Log'!B:B,A14)&gt;0,"YES","NO"))</f>
        <v/>
      </c>
    </row>
    <row r="15">
      <c r="A15" s="20" t="n"/>
      <c r="B15" s="20" t="n"/>
      <c r="C15" s="20" t="n"/>
      <c r="D15" s="20" t="n"/>
      <c r="E15" s="20" t="n"/>
      <c r="F15" s="21" t="n"/>
      <c r="G15" s="21" t="n"/>
      <c r="H15" s="20" t="n"/>
      <c r="I15" s="22" t="n"/>
      <c r="J15" s="19">
        <f>IF(OR(F15="",G15=""),"",MAX(0,G15-F15))</f>
        <v/>
      </c>
      <c r="K15" s="23">
        <f>IF(OR(I15="",J15=""),"",I15*J15)</f>
        <v/>
      </c>
      <c r="L15" s="22" t="n"/>
      <c r="M15" s="23">
        <f>IF(K15="","",MAX(0,K15-IF(L15="",0,L15)))</f>
        <v/>
      </c>
      <c r="N15" s="20" t="n"/>
      <c r="O15" s="20" t="n"/>
      <c r="P15" s="20" t="n"/>
      <c r="Q15" s="20" t="n"/>
      <c r="R15" s="20" t="n"/>
      <c r="S15" s="19">
        <f>IF(A15="","",IF(COUNTIF('Email Log'!B:B,A15)&gt;0,"YES","NO"))</f>
        <v/>
      </c>
    </row>
    <row r="16">
      <c r="A16" s="20" t="n"/>
      <c r="B16" s="20" t="n"/>
      <c r="C16" s="20" t="n"/>
      <c r="D16" s="20" t="n"/>
      <c r="E16" s="20" t="n"/>
      <c r="F16" s="21" t="n"/>
      <c r="G16" s="21" t="n"/>
      <c r="H16" s="20" t="n"/>
      <c r="I16" s="22" t="n"/>
      <c r="J16" s="19">
        <f>IF(OR(F16="",G16=""),"",MAX(0,G16-F16))</f>
        <v/>
      </c>
      <c r="K16" s="23">
        <f>IF(OR(I16="",J16=""),"",I16*J16)</f>
        <v/>
      </c>
      <c r="L16" s="22" t="n"/>
      <c r="M16" s="23">
        <f>IF(K16="","",MAX(0,K16-IF(L16="",0,L16)))</f>
        <v/>
      </c>
      <c r="N16" s="20" t="n"/>
      <c r="O16" s="20" t="n"/>
      <c r="P16" s="20" t="n"/>
      <c r="Q16" s="20" t="n"/>
      <c r="R16" s="20" t="n"/>
      <c r="S16" s="19">
        <f>IF(A16="","",IF(COUNTIF('Email Log'!B:B,A16)&gt;0,"YES","NO"))</f>
        <v/>
      </c>
    </row>
    <row r="17">
      <c r="A17" s="20" t="n"/>
      <c r="B17" s="20" t="n"/>
      <c r="C17" s="20" t="n"/>
      <c r="D17" s="20" t="n"/>
      <c r="E17" s="20" t="n"/>
      <c r="F17" s="21" t="n"/>
      <c r="G17" s="21" t="n"/>
      <c r="H17" s="20" t="n"/>
      <c r="I17" s="22" t="n"/>
      <c r="J17" s="19">
        <f>IF(OR(F17="",G17=""),"",MAX(0,G17-F17))</f>
        <v/>
      </c>
      <c r="K17" s="23">
        <f>IF(OR(I17="",J17=""),"",I17*J17)</f>
        <v/>
      </c>
      <c r="L17" s="22" t="n"/>
      <c r="M17" s="23">
        <f>IF(K17="","",MAX(0,K17-IF(L17="",0,L17)))</f>
        <v/>
      </c>
      <c r="N17" s="20" t="n"/>
      <c r="O17" s="20" t="n"/>
      <c r="P17" s="20" t="n"/>
      <c r="Q17" s="20" t="n"/>
      <c r="R17" s="20" t="n"/>
      <c r="S17" s="19">
        <f>IF(A17="","",IF(COUNTIF('Email Log'!B:B,A17)&gt;0,"YES","NO"))</f>
        <v/>
      </c>
    </row>
    <row r="18">
      <c r="A18" s="20" t="n"/>
      <c r="B18" s="20" t="n"/>
      <c r="C18" s="20" t="n"/>
      <c r="D18" s="20" t="n"/>
      <c r="E18" s="20" t="n"/>
      <c r="F18" s="21" t="n"/>
      <c r="G18" s="21" t="n"/>
      <c r="H18" s="20" t="n"/>
      <c r="I18" s="22" t="n"/>
      <c r="J18" s="19">
        <f>IF(OR(F18="",G18=""),"",MAX(0,G18-F18))</f>
        <v/>
      </c>
      <c r="K18" s="23">
        <f>IF(OR(I18="",J18=""),"",I18*J18)</f>
        <v/>
      </c>
      <c r="L18" s="22" t="n"/>
      <c r="M18" s="23">
        <f>IF(K18="","",MAX(0,K18-IF(L18="",0,L18)))</f>
        <v/>
      </c>
      <c r="N18" s="20" t="n"/>
      <c r="O18" s="20" t="n"/>
      <c r="P18" s="20" t="n"/>
      <c r="Q18" s="20" t="n"/>
      <c r="R18" s="20" t="n"/>
      <c r="S18" s="19">
        <f>IF(A18="","",IF(COUNTIF('Email Log'!B:B,A18)&gt;0,"YES","NO"))</f>
        <v/>
      </c>
    </row>
    <row r="19">
      <c r="A19" s="20" t="n"/>
      <c r="B19" s="20" t="n"/>
      <c r="C19" s="20" t="n"/>
      <c r="D19" s="20" t="n"/>
      <c r="E19" s="20" t="n"/>
      <c r="F19" s="21" t="n"/>
      <c r="G19" s="21" t="n"/>
      <c r="H19" s="20" t="n"/>
      <c r="I19" s="22" t="n"/>
      <c r="J19" s="19">
        <f>IF(OR(F19="",G19=""),"",MAX(0,G19-F19))</f>
        <v/>
      </c>
      <c r="K19" s="23">
        <f>IF(OR(I19="",J19=""),"",I19*J19)</f>
        <v/>
      </c>
      <c r="L19" s="22" t="n"/>
      <c r="M19" s="23">
        <f>IF(K19="","",MAX(0,K19-IF(L19="",0,L19)))</f>
        <v/>
      </c>
      <c r="N19" s="20" t="n"/>
      <c r="O19" s="20" t="n"/>
      <c r="P19" s="20" t="n"/>
      <c r="Q19" s="20" t="n"/>
      <c r="R19" s="20" t="n"/>
      <c r="S19" s="19">
        <f>IF(A19="","",IF(COUNTIF('Email Log'!B:B,A19)&gt;0,"YES","NO"))</f>
        <v/>
      </c>
    </row>
    <row r="20">
      <c r="A20" s="20" t="n"/>
      <c r="B20" s="20" t="n"/>
      <c r="C20" s="20" t="n"/>
      <c r="D20" s="20" t="n"/>
      <c r="E20" s="20" t="n"/>
      <c r="F20" s="21" t="n"/>
      <c r="G20" s="21" t="n"/>
      <c r="H20" s="20" t="n"/>
      <c r="I20" s="22" t="n"/>
      <c r="J20" s="19">
        <f>IF(OR(F20="",G20=""),"",MAX(0,G20-F20))</f>
        <v/>
      </c>
      <c r="K20" s="23">
        <f>IF(OR(I20="",J20=""),"",I20*J20)</f>
        <v/>
      </c>
      <c r="L20" s="22" t="n"/>
      <c r="M20" s="23">
        <f>IF(K20="","",MAX(0,K20-IF(L20="",0,L20)))</f>
        <v/>
      </c>
      <c r="N20" s="20" t="n"/>
      <c r="O20" s="20" t="n"/>
      <c r="P20" s="20" t="n"/>
      <c r="Q20" s="20" t="n"/>
      <c r="R20" s="20" t="n"/>
      <c r="S20" s="19">
        <f>IF(A20="","",IF(COUNTIF('Email Log'!B:B,A20)&gt;0,"YES","NO"))</f>
        <v/>
      </c>
    </row>
    <row r="21">
      <c r="A21" s="20" t="n"/>
      <c r="B21" s="20" t="n"/>
      <c r="C21" s="20" t="n"/>
      <c r="D21" s="20" t="n"/>
      <c r="E21" s="20" t="n"/>
      <c r="F21" s="21" t="n"/>
      <c r="G21" s="21" t="n"/>
      <c r="H21" s="20" t="n"/>
      <c r="I21" s="22" t="n"/>
      <c r="J21" s="19">
        <f>IF(OR(F21="",G21=""),"",MAX(0,G21-F21))</f>
        <v/>
      </c>
      <c r="K21" s="23">
        <f>IF(OR(I21="",J21=""),"",I21*J21)</f>
        <v/>
      </c>
      <c r="L21" s="22" t="n"/>
      <c r="M21" s="23">
        <f>IF(K21="","",MAX(0,K21-IF(L21="",0,L21)))</f>
        <v/>
      </c>
      <c r="N21" s="20" t="n"/>
      <c r="O21" s="20" t="n"/>
      <c r="P21" s="20" t="n"/>
      <c r="Q21" s="20" t="n"/>
      <c r="R21" s="20" t="n"/>
      <c r="S21" s="19">
        <f>IF(A21="","",IF(COUNTIF('Email Log'!B:B,A21)&gt;0,"YES","NO"))</f>
        <v/>
      </c>
    </row>
    <row r="22">
      <c r="A22" s="20" t="n"/>
      <c r="B22" s="20" t="n"/>
      <c r="C22" s="20" t="n"/>
      <c r="D22" s="20" t="n"/>
      <c r="E22" s="20" t="n"/>
      <c r="F22" s="21" t="n"/>
      <c r="G22" s="21" t="n"/>
      <c r="H22" s="20" t="n"/>
      <c r="I22" s="22" t="n"/>
      <c r="J22" s="19">
        <f>IF(OR(F22="",G22=""),"",MAX(0,G22-F22))</f>
        <v/>
      </c>
      <c r="K22" s="23">
        <f>IF(OR(I22="",J22=""),"",I22*J22)</f>
        <v/>
      </c>
      <c r="L22" s="22" t="n"/>
      <c r="M22" s="23">
        <f>IF(K22="","",MAX(0,K22-IF(L22="",0,L22)))</f>
        <v/>
      </c>
      <c r="N22" s="20" t="n"/>
      <c r="O22" s="20" t="n"/>
      <c r="P22" s="20" t="n"/>
      <c r="Q22" s="20" t="n"/>
      <c r="R22" s="20" t="n"/>
      <c r="S22" s="19">
        <f>IF(A22="","",IF(COUNTIF('Email Log'!B:B,A22)&gt;0,"YES","NO"))</f>
        <v/>
      </c>
    </row>
    <row r="23">
      <c r="A23" s="20" t="n"/>
      <c r="B23" s="20" t="n"/>
      <c r="C23" s="20" t="n"/>
      <c r="D23" s="20" t="n"/>
      <c r="E23" s="20" t="n"/>
      <c r="F23" s="21" t="n"/>
      <c r="G23" s="21" t="n"/>
      <c r="H23" s="20" t="n"/>
      <c r="I23" s="22" t="n"/>
      <c r="J23" s="19">
        <f>IF(OR(F23="",G23=""),"",MAX(0,G23-F23))</f>
        <v/>
      </c>
      <c r="K23" s="23">
        <f>IF(OR(I23="",J23=""),"",I23*J23)</f>
        <v/>
      </c>
      <c r="L23" s="22" t="n"/>
      <c r="M23" s="23">
        <f>IF(K23="","",MAX(0,K23-IF(L23="",0,L23)))</f>
        <v/>
      </c>
      <c r="N23" s="20" t="n"/>
      <c r="O23" s="20" t="n"/>
      <c r="P23" s="20" t="n"/>
      <c r="Q23" s="20" t="n"/>
      <c r="R23" s="20" t="n"/>
      <c r="S23" s="19">
        <f>IF(A23="","",IF(COUNTIF('Email Log'!B:B,A23)&gt;0,"YES","NO"))</f>
        <v/>
      </c>
    </row>
    <row r="24">
      <c r="A24" s="20" t="n"/>
      <c r="B24" s="20" t="n"/>
      <c r="C24" s="20" t="n"/>
      <c r="D24" s="20" t="n"/>
      <c r="E24" s="20" t="n"/>
      <c r="F24" s="21" t="n"/>
      <c r="G24" s="21" t="n"/>
      <c r="H24" s="20" t="n"/>
      <c r="I24" s="22" t="n"/>
      <c r="J24" s="19">
        <f>IF(OR(F24="",G24=""),"",MAX(0,G24-F24))</f>
        <v/>
      </c>
      <c r="K24" s="23">
        <f>IF(OR(I24="",J24=""),"",I24*J24)</f>
        <v/>
      </c>
      <c r="L24" s="22" t="n"/>
      <c r="M24" s="23">
        <f>IF(K24="","",MAX(0,K24-IF(L24="",0,L24)))</f>
        <v/>
      </c>
      <c r="N24" s="20" t="n"/>
      <c r="O24" s="20" t="n"/>
      <c r="P24" s="20" t="n"/>
      <c r="Q24" s="20" t="n"/>
      <c r="R24" s="20" t="n"/>
      <c r="S24" s="19">
        <f>IF(A24="","",IF(COUNTIF('Email Log'!B:B,A24)&gt;0,"YES","NO"))</f>
        <v/>
      </c>
    </row>
    <row r="25">
      <c r="A25" s="20" t="n"/>
      <c r="B25" s="20" t="n"/>
      <c r="C25" s="20" t="n"/>
      <c r="D25" s="20" t="n"/>
      <c r="E25" s="20" t="n"/>
      <c r="F25" s="21" t="n"/>
      <c r="G25" s="21" t="n"/>
      <c r="H25" s="20" t="n"/>
      <c r="I25" s="22" t="n"/>
      <c r="J25" s="19">
        <f>IF(OR(F25="",G25=""),"",MAX(0,G25-F25))</f>
        <v/>
      </c>
      <c r="K25" s="23">
        <f>IF(OR(I25="",J25=""),"",I25*J25)</f>
        <v/>
      </c>
      <c r="L25" s="22" t="n"/>
      <c r="M25" s="23">
        <f>IF(K25="","",MAX(0,K25-IF(L25="",0,L25)))</f>
        <v/>
      </c>
      <c r="N25" s="20" t="n"/>
      <c r="O25" s="20" t="n"/>
      <c r="P25" s="20" t="n"/>
      <c r="Q25" s="20" t="n"/>
      <c r="R25" s="20" t="n"/>
      <c r="S25" s="19">
        <f>IF(A25="","",IF(COUNTIF('Email Log'!B:B,A25)&gt;0,"YES","NO"))</f>
        <v/>
      </c>
    </row>
    <row r="26">
      <c r="A26" s="20" t="n"/>
      <c r="B26" s="20" t="n"/>
      <c r="C26" s="20" t="n"/>
      <c r="D26" s="20" t="n"/>
      <c r="E26" s="20" t="n"/>
      <c r="F26" s="21" t="n"/>
      <c r="G26" s="21" t="n"/>
      <c r="H26" s="20" t="n"/>
      <c r="I26" s="22" t="n"/>
      <c r="J26" s="19">
        <f>IF(OR(F26="",G26=""),"",MAX(0,G26-F26))</f>
        <v/>
      </c>
      <c r="K26" s="23">
        <f>IF(OR(I26="",J26=""),"",I26*J26)</f>
        <v/>
      </c>
      <c r="L26" s="22" t="n"/>
      <c r="M26" s="23">
        <f>IF(K26="","",MAX(0,K26-IF(L26="",0,L26)))</f>
        <v/>
      </c>
      <c r="N26" s="20" t="n"/>
      <c r="O26" s="20" t="n"/>
      <c r="P26" s="20" t="n"/>
      <c r="Q26" s="20" t="n"/>
      <c r="R26" s="20" t="n"/>
      <c r="S26" s="19">
        <f>IF(A26="","",IF(COUNTIF('Email Log'!B:B,A26)&gt;0,"YES","NO"))</f>
        <v/>
      </c>
    </row>
    <row r="27">
      <c r="A27" s="20" t="n"/>
      <c r="B27" s="20" t="n"/>
      <c r="C27" s="20" t="n"/>
      <c r="D27" s="20" t="n"/>
      <c r="E27" s="20" t="n"/>
      <c r="F27" s="21" t="n"/>
      <c r="G27" s="21" t="n"/>
      <c r="H27" s="20" t="n"/>
      <c r="I27" s="22" t="n"/>
      <c r="J27" s="19">
        <f>IF(OR(F27="",G27=""),"",MAX(0,G27-F27))</f>
        <v/>
      </c>
      <c r="K27" s="23">
        <f>IF(OR(I27="",J27=""),"",I27*J27)</f>
        <v/>
      </c>
      <c r="L27" s="22" t="n"/>
      <c r="M27" s="23">
        <f>IF(K27="","",MAX(0,K27-IF(L27="",0,L27)))</f>
        <v/>
      </c>
      <c r="N27" s="20" t="n"/>
      <c r="O27" s="20" t="n"/>
      <c r="P27" s="20" t="n"/>
      <c r="Q27" s="20" t="n"/>
      <c r="R27" s="20" t="n"/>
      <c r="S27" s="19">
        <f>IF(A27="","",IF(COUNTIF('Email Log'!B:B,A27)&gt;0,"YES","NO"))</f>
        <v/>
      </c>
    </row>
    <row r="28">
      <c r="A28" s="20" t="n"/>
      <c r="B28" s="20" t="n"/>
      <c r="C28" s="20" t="n"/>
      <c r="D28" s="20" t="n"/>
      <c r="E28" s="20" t="n"/>
      <c r="F28" s="21" t="n"/>
      <c r="G28" s="21" t="n"/>
      <c r="H28" s="20" t="n"/>
      <c r="I28" s="22" t="n"/>
      <c r="J28" s="19">
        <f>IF(OR(F28="",G28=""),"",MAX(0,G28-F28))</f>
        <v/>
      </c>
      <c r="K28" s="23">
        <f>IF(OR(I28="",J28=""),"",I28*J28)</f>
        <v/>
      </c>
      <c r="L28" s="22" t="n"/>
      <c r="M28" s="23">
        <f>IF(K28="","",MAX(0,K28-IF(L28="",0,L28)))</f>
        <v/>
      </c>
      <c r="N28" s="20" t="n"/>
      <c r="O28" s="20" t="n"/>
      <c r="P28" s="20" t="n"/>
      <c r="Q28" s="20" t="n"/>
      <c r="R28" s="20" t="n"/>
      <c r="S28" s="19">
        <f>IF(A28="","",IF(COUNTIF('Email Log'!B:B,A28)&gt;0,"YES","NO"))</f>
        <v/>
      </c>
    </row>
    <row r="29">
      <c r="A29" s="20" t="n"/>
      <c r="B29" s="20" t="n"/>
      <c r="C29" s="20" t="n"/>
      <c r="D29" s="20" t="n"/>
      <c r="E29" s="20" t="n"/>
      <c r="F29" s="21" t="n"/>
      <c r="G29" s="21" t="n"/>
      <c r="H29" s="20" t="n"/>
      <c r="I29" s="22" t="n"/>
      <c r="J29" s="19">
        <f>IF(OR(F29="",G29=""),"",MAX(0,G29-F29))</f>
        <v/>
      </c>
      <c r="K29" s="23">
        <f>IF(OR(I29="",J29=""),"",I29*J29)</f>
        <v/>
      </c>
      <c r="L29" s="22" t="n"/>
      <c r="M29" s="23">
        <f>IF(K29="","",MAX(0,K29-IF(L29="",0,L29)))</f>
        <v/>
      </c>
      <c r="N29" s="20" t="n"/>
      <c r="O29" s="20" t="n"/>
      <c r="P29" s="20" t="n"/>
      <c r="Q29" s="20" t="n"/>
      <c r="R29" s="20" t="n"/>
      <c r="S29" s="19">
        <f>IF(A29="","",IF(COUNTIF('Email Log'!B:B,A29)&gt;0,"YES","NO"))</f>
        <v/>
      </c>
    </row>
    <row r="30">
      <c r="A30" s="20" t="n"/>
      <c r="B30" s="20" t="n"/>
      <c r="C30" s="20" t="n"/>
      <c r="D30" s="20" t="n"/>
      <c r="E30" s="20" t="n"/>
      <c r="F30" s="21" t="n"/>
      <c r="G30" s="21" t="n"/>
      <c r="H30" s="20" t="n"/>
      <c r="I30" s="22" t="n"/>
      <c r="J30" s="19">
        <f>IF(OR(F30="",G30=""),"",MAX(0,G30-F30))</f>
        <v/>
      </c>
      <c r="K30" s="23">
        <f>IF(OR(I30="",J30=""),"",I30*J30)</f>
        <v/>
      </c>
      <c r="L30" s="22" t="n"/>
      <c r="M30" s="23">
        <f>IF(K30="","",MAX(0,K30-IF(L30="",0,L30)))</f>
        <v/>
      </c>
      <c r="N30" s="20" t="n"/>
      <c r="O30" s="20" t="n"/>
      <c r="P30" s="20" t="n"/>
      <c r="Q30" s="20" t="n"/>
      <c r="R30" s="20" t="n"/>
      <c r="S30" s="19">
        <f>IF(A30="","",IF(COUNTIF('Email Log'!B:B,A30)&gt;0,"YES","NO"))</f>
        <v/>
      </c>
    </row>
    <row r="31">
      <c r="A31" s="20" t="n"/>
      <c r="B31" s="20" t="n"/>
      <c r="C31" s="20" t="n"/>
      <c r="D31" s="20" t="n"/>
      <c r="E31" s="20" t="n"/>
      <c r="F31" s="21" t="n"/>
      <c r="G31" s="21" t="n"/>
      <c r="H31" s="20" t="n"/>
      <c r="I31" s="22" t="n"/>
      <c r="J31" s="19">
        <f>IF(OR(F31="",G31=""),"",MAX(0,G31-F31))</f>
        <v/>
      </c>
      <c r="K31" s="23">
        <f>IF(OR(I31="",J31=""),"",I31*J31)</f>
        <v/>
      </c>
      <c r="L31" s="22" t="n"/>
      <c r="M31" s="23">
        <f>IF(K31="","",MAX(0,K31-IF(L31="",0,L31)))</f>
        <v/>
      </c>
      <c r="N31" s="20" t="n"/>
      <c r="O31" s="20" t="n"/>
      <c r="P31" s="20" t="n"/>
      <c r="Q31" s="20" t="n"/>
      <c r="R31" s="20" t="n"/>
      <c r="S31" s="19">
        <f>IF(A31="","",IF(COUNTIF('Email Log'!B:B,A31)&gt;0,"YES","NO"))</f>
        <v/>
      </c>
    </row>
    <row r="32">
      <c r="A32" s="20" t="n"/>
      <c r="B32" s="20" t="n"/>
      <c r="C32" s="20" t="n"/>
      <c r="D32" s="20" t="n"/>
      <c r="E32" s="20" t="n"/>
      <c r="F32" s="21" t="n"/>
      <c r="G32" s="21" t="n"/>
      <c r="H32" s="20" t="n"/>
      <c r="I32" s="22" t="n"/>
      <c r="J32" s="19">
        <f>IF(OR(F32="",G32=""),"",MAX(0,G32-F32))</f>
        <v/>
      </c>
      <c r="K32" s="23">
        <f>IF(OR(I32="",J32=""),"",I32*J32)</f>
        <v/>
      </c>
      <c r="L32" s="22" t="n"/>
      <c r="M32" s="23">
        <f>IF(K32="","",MAX(0,K32-IF(L32="",0,L32)))</f>
        <v/>
      </c>
      <c r="N32" s="20" t="n"/>
      <c r="O32" s="20" t="n"/>
      <c r="P32" s="20" t="n"/>
      <c r="Q32" s="20" t="n"/>
      <c r="R32" s="20" t="n"/>
      <c r="S32" s="19">
        <f>IF(A32="","",IF(COUNTIF('Email Log'!B:B,A32)&gt;0,"YES","NO"))</f>
        <v/>
      </c>
    </row>
    <row r="33">
      <c r="A33" s="20" t="n"/>
      <c r="B33" s="20" t="n"/>
      <c r="C33" s="20" t="n"/>
      <c r="D33" s="20" t="n"/>
      <c r="E33" s="20" t="n"/>
      <c r="F33" s="21" t="n"/>
      <c r="G33" s="21" t="n"/>
      <c r="H33" s="20" t="n"/>
      <c r="I33" s="22" t="n"/>
      <c r="J33" s="19">
        <f>IF(OR(F33="",G33=""),"",MAX(0,G33-F33))</f>
        <v/>
      </c>
      <c r="K33" s="23">
        <f>IF(OR(I33="",J33=""),"",I33*J33)</f>
        <v/>
      </c>
      <c r="L33" s="22" t="n"/>
      <c r="M33" s="23">
        <f>IF(K33="","",MAX(0,K33-IF(L33="",0,L33)))</f>
        <v/>
      </c>
      <c r="N33" s="20" t="n"/>
      <c r="O33" s="20" t="n"/>
      <c r="P33" s="20" t="n"/>
      <c r="Q33" s="20" t="n"/>
      <c r="R33" s="20" t="n"/>
      <c r="S33" s="19">
        <f>IF(A33="","",IF(COUNTIF('Email Log'!B:B,A33)&gt;0,"YES","NO"))</f>
        <v/>
      </c>
    </row>
    <row r="34">
      <c r="A34" s="20" t="n"/>
      <c r="B34" s="20" t="n"/>
      <c r="C34" s="20" t="n"/>
      <c r="D34" s="20" t="n"/>
      <c r="E34" s="20" t="n"/>
      <c r="F34" s="21" t="n"/>
      <c r="G34" s="21" t="n"/>
      <c r="H34" s="20" t="n"/>
      <c r="I34" s="22" t="n"/>
      <c r="J34" s="19">
        <f>IF(OR(F34="",G34=""),"",MAX(0,G34-F34))</f>
        <v/>
      </c>
      <c r="K34" s="23">
        <f>IF(OR(I34="",J34=""),"",I34*J34)</f>
        <v/>
      </c>
      <c r="L34" s="22" t="n"/>
      <c r="M34" s="23">
        <f>IF(K34="","",MAX(0,K34-IF(L34="",0,L34)))</f>
        <v/>
      </c>
      <c r="N34" s="20" t="n"/>
      <c r="O34" s="20" t="n"/>
      <c r="P34" s="20" t="n"/>
      <c r="Q34" s="20" t="n"/>
      <c r="R34" s="20" t="n"/>
      <c r="S34" s="19">
        <f>IF(A34="","",IF(COUNTIF('Email Log'!B:B,A34)&gt;0,"YES","NO"))</f>
        <v/>
      </c>
    </row>
    <row r="35">
      <c r="A35" s="20" t="n"/>
      <c r="B35" s="20" t="n"/>
      <c r="C35" s="20" t="n"/>
      <c r="D35" s="20" t="n"/>
      <c r="E35" s="20" t="n"/>
      <c r="F35" s="21" t="n"/>
      <c r="G35" s="21" t="n"/>
      <c r="H35" s="20" t="n"/>
      <c r="I35" s="22" t="n"/>
      <c r="J35" s="19">
        <f>IF(OR(F35="",G35=""),"",MAX(0,G35-F35))</f>
        <v/>
      </c>
      <c r="K35" s="23">
        <f>IF(OR(I35="",J35=""),"",I35*J35)</f>
        <v/>
      </c>
      <c r="L35" s="22" t="n"/>
      <c r="M35" s="23">
        <f>IF(K35="","",MAX(0,K35-IF(L35="",0,L35)))</f>
        <v/>
      </c>
      <c r="N35" s="20" t="n"/>
      <c r="O35" s="20" t="n"/>
      <c r="P35" s="20" t="n"/>
      <c r="Q35" s="20" t="n"/>
      <c r="R35" s="20" t="n"/>
      <c r="S35" s="19">
        <f>IF(A35="","",IF(COUNTIF('Email Log'!B:B,A35)&gt;0,"YES","NO"))</f>
        <v/>
      </c>
    </row>
    <row r="36">
      <c r="A36" s="20" t="n"/>
      <c r="B36" s="20" t="n"/>
      <c r="C36" s="20" t="n"/>
      <c r="D36" s="20" t="n"/>
      <c r="E36" s="20" t="n"/>
      <c r="F36" s="21" t="n"/>
      <c r="G36" s="21" t="n"/>
      <c r="H36" s="20" t="n"/>
      <c r="I36" s="22" t="n"/>
      <c r="J36" s="19">
        <f>IF(OR(F36="",G36=""),"",MAX(0,G36-F36))</f>
        <v/>
      </c>
      <c r="K36" s="23">
        <f>IF(OR(I36="",J36=""),"",I36*J36)</f>
        <v/>
      </c>
      <c r="L36" s="22" t="n"/>
      <c r="M36" s="23">
        <f>IF(K36="","",MAX(0,K36-IF(L36="",0,L36)))</f>
        <v/>
      </c>
      <c r="N36" s="20" t="n"/>
      <c r="O36" s="20" t="n"/>
      <c r="P36" s="20" t="n"/>
      <c r="Q36" s="20" t="n"/>
      <c r="R36" s="20" t="n"/>
      <c r="S36" s="19">
        <f>IF(A36="","",IF(COUNTIF('Email Log'!B:B,A36)&gt;0,"YES","NO"))</f>
        <v/>
      </c>
    </row>
    <row r="37">
      <c r="A37" s="20" t="n"/>
      <c r="B37" s="20" t="n"/>
      <c r="C37" s="20" t="n"/>
      <c r="D37" s="20" t="n"/>
      <c r="E37" s="20" t="n"/>
      <c r="F37" s="21" t="n"/>
      <c r="G37" s="21" t="n"/>
      <c r="H37" s="20" t="n"/>
      <c r="I37" s="22" t="n"/>
      <c r="J37" s="19">
        <f>IF(OR(F37="",G37=""),"",MAX(0,G37-F37))</f>
        <v/>
      </c>
      <c r="K37" s="23">
        <f>IF(OR(I37="",J37=""),"",I37*J37)</f>
        <v/>
      </c>
      <c r="L37" s="22" t="n"/>
      <c r="M37" s="23">
        <f>IF(K37="","",MAX(0,K37-IF(L37="",0,L37)))</f>
        <v/>
      </c>
      <c r="N37" s="20" t="n"/>
      <c r="O37" s="20" t="n"/>
      <c r="P37" s="20" t="n"/>
      <c r="Q37" s="20" t="n"/>
      <c r="R37" s="20" t="n"/>
      <c r="S37" s="19">
        <f>IF(A37="","",IF(COUNTIF('Email Log'!B:B,A37)&gt;0,"YES","NO"))</f>
        <v/>
      </c>
    </row>
    <row r="38">
      <c r="A38" s="20" t="n"/>
      <c r="B38" s="20" t="n"/>
      <c r="C38" s="20" t="n"/>
      <c r="D38" s="20" t="n"/>
      <c r="E38" s="20" t="n"/>
      <c r="F38" s="21" t="n"/>
      <c r="G38" s="21" t="n"/>
      <c r="H38" s="20" t="n"/>
      <c r="I38" s="22" t="n"/>
      <c r="J38" s="19">
        <f>IF(OR(F38="",G38=""),"",MAX(0,G38-F38))</f>
        <v/>
      </c>
      <c r="K38" s="23">
        <f>IF(OR(I38="",J38=""),"",I38*J38)</f>
        <v/>
      </c>
      <c r="L38" s="22" t="n"/>
      <c r="M38" s="23">
        <f>IF(K38="","",MAX(0,K38-IF(L38="",0,L38)))</f>
        <v/>
      </c>
      <c r="N38" s="20" t="n"/>
      <c r="O38" s="20" t="n"/>
      <c r="P38" s="20" t="n"/>
      <c r="Q38" s="20" t="n"/>
      <c r="R38" s="20" t="n"/>
      <c r="S38" s="19">
        <f>IF(A38="","",IF(COUNTIF('Email Log'!B:B,A38)&gt;0,"YES","NO"))</f>
        <v/>
      </c>
    </row>
    <row r="39">
      <c r="A39" s="20" t="n"/>
      <c r="B39" s="20" t="n"/>
      <c r="C39" s="20" t="n"/>
      <c r="D39" s="20" t="n"/>
      <c r="E39" s="20" t="n"/>
      <c r="F39" s="21" t="n"/>
      <c r="G39" s="21" t="n"/>
      <c r="H39" s="20" t="n"/>
      <c r="I39" s="22" t="n"/>
      <c r="J39" s="19">
        <f>IF(OR(F39="",G39=""),"",MAX(0,G39-F39))</f>
        <v/>
      </c>
      <c r="K39" s="23">
        <f>IF(OR(I39="",J39=""),"",I39*J39)</f>
        <v/>
      </c>
      <c r="L39" s="22" t="n"/>
      <c r="M39" s="23">
        <f>IF(K39="","",MAX(0,K39-IF(L39="",0,L39)))</f>
        <v/>
      </c>
      <c r="N39" s="20" t="n"/>
      <c r="O39" s="20" t="n"/>
      <c r="P39" s="20" t="n"/>
      <c r="Q39" s="20" t="n"/>
      <c r="R39" s="20" t="n"/>
      <c r="S39" s="19">
        <f>IF(A39="","",IF(COUNTIF('Email Log'!B:B,A39)&gt;0,"YES","NO"))</f>
        <v/>
      </c>
    </row>
    <row r="40">
      <c r="A40" s="20" t="n"/>
      <c r="B40" s="20" t="n"/>
      <c r="C40" s="20" t="n"/>
      <c r="D40" s="20" t="n"/>
      <c r="E40" s="20" t="n"/>
      <c r="F40" s="21" t="n"/>
      <c r="G40" s="21" t="n"/>
      <c r="H40" s="20" t="n"/>
      <c r="I40" s="22" t="n"/>
      <c r="J40" s="19">
        <f>IF(OR(F40="",G40=""),"",MAX(0,G40-F40))</f>
        <v/>
      </c>
      <c r="K40" s="23">
        <f>IF(OR(I40="",J40=""),"",I40*J40)</f>
        <v/>
      </c>
      <c r="L40" s="22" t="n"/>
      <c r="M40" s="23">
        <f>IF(K40="","",MAX(0,K40-IF(L40="",0,L40)))</f>
        <v/>
      </c>
      <c r="N40" s="20" t="n"/>
      <c r="O40" s="20" t="n"/>
      <c r="P40" s="20" t="n"/>
      <c r="Q40" s="20" t="n"/>
      <c r="R40" s="20" t="n"/>
      <c r="S40" s="19">
        <f>IF(A40="","",IF(COUNTIF('Email Log'!B:B,A40)&gt;0,"YES","NO"))</f>
        <v/>
      </c>
    </row>
    <row r="41">
      <c r="A41" s="20" t="n"/>
      <c r="B41" s="20" t="n"/>
      <c r="C41" s="20" t="n"/>
      <c r="D41" s="20" t="n"/>
      <c r="E41" s="20" t="n"/>
      <c r="F41" s="21" t="n"/>
      <c r="G41" s="21" t="n"/>
      <c r="H41" s="20" t="n"/>
      <c r="I41" s="22" t="n"/>
      <c r="J41" s="19">
        <f>IF(OR(F41="",G41=""),"",MAX(0,G41-F41))</f>
        <v/>
      </c>
      <c r="K41" s="23">
        <f>IF(OR(I41="",J41=""),"",I41*J41)</f>
        <v/>
      </c>
      <c r="L41" s="22" t="n"/>
      <c r="M41" s="23">
        <f>IF(K41="","",MAX(0,K41-IF(L41="",0,L41)))</f>
        <v/>
      </c>
      <c r="N41" s="20" t="n"/>
      <c r="O41" s="20" t="n"/>
      <c r="P41" s="20" t="n"/>
      <c r="Q41" s="20" t="n"/>
      <c r="R41" s="20" t="n"/>
      <c r="S41" s="19">
        <f>IF(A41="","",IF(COUNTIF('Email Log'!B:B,A41)&gt;0,"YES","NO"))</f>
        <v/>
      </c>
    </row>
    <row r="42">
      <c r="A42" s="20" t="n"/>
      <c r="B42" s="20" t="n"/>
      <c r="C42" s="20" t="n"/>
      <c r="D42" s="20" t="n"/>
      <c r="E42" s="20" t="n"/>
      <c r="F42" s="21" t="n"/>
      <c r="G42" s="21" t="n"/>
      <c r="H42" s="20" t="n"/>
      <c r="I42" s="22" t="n"/>
      <c r="J42" s="19">
        <f>IF(OR(F42="",G42=""),"",MAX(0,G42-F42))</f>
        <v/>
      </c>
      <c r="K42" s="23">
        <f>IF(OR(I42="",J42=""),"",I42*J42)</f>
        <v/>
      </c>
      <c r="L42" s="22" t="n"/>
      <c r="M42" s="23">
        <f>IF(K42="","",MAX(0,K42-IF(L42="",0,L42)))</f>
        <v/>
      </c>
      <c r="N42" s="20" t="n"/>
      <c r="O42" s="20" t="n"/>
      <c r="P42" s="20" t="n"/>
      <c r="Q42" s="20" t="n"/>
      <c r="R42" s="20" t="n"/>
      <c r="S42" s="19">
        <f>IF(A42="","",IF(COUNTIF('Email Log'!B:B,A42)&gt;0,"YES","NO"))</f>
        <v/>
      </c>
    </row>
    <row r="43">
      <c r="A43" s="20" t="n"/>
      <c r="B43" s="20" t="n"/>
      <c r="C43" s="20" t="n"/>
      <c r="D43" s="20" t="n"/>
      <c r="E43" s="20" t="n"/>
      <c r="F43" s="21" t="n"/>
      <c r="G43" s="21" t="n"/>
      <c r="H43" s="20" t="n"/>
      <c r="I43" s="22" t="n"/>
      <c r="J43" s="19">
        <f>IF(OR(F43="",G43=""),"",MAX(0,G43-F43))</f>
        <v/>
      </c>
      <c r="K43" s="23">
        <f>IF(OR(I43="",J43=""),"",I43*J43)</f>
        <v/>
      </c>
      <c r="L43" s="22" t="n"/>
      <c r="M43" s="23">
        <f>IF(K43="","",MAX(0,K43-IF(L43="",0,L43)))</f>
        <v/>
      </c>
      <c r="N43" s="20" t="n"/>
      <c r="O43" s="20" t="n"/>
      <c r="P43" s="20" t="n"/>
      <c r="Q43" s="20" t="n"/>
      <c r="R43" s="20" t="n"/>
      <c r="S43" s="19">
        <f>IF(A43="","",IF(COUNTIF('Email Log'!B:B,A43)&gt;0,"YES","NO"))</f>
        <v/>
      </c>
    </row>
    <row r="44">
      <c r="A44" s="20" t="n"/>
      <c r="B44" s="20" t="n"/>
      <c r="C44" s="20" t="n"/>
      <c r="D44" s="20" t="n"/>
      <c r="E44" s="20" t="n"/>
      <c r="F44" s="21" t="n"/>
      <c r="G44" s="21" t="n"/>
      <c r="H44" s="20" t="n"/>
      <c r="I44" s="22" t="n"/>
      <c r="J44" s="19">
        <f>IF(OR(F44="",G44=""),"",MAX(0,G44-F44))</f>
        <v/>
      </c>
      <c r="K44" s="23">
        <f>IF(OR(I44="",J44=""),"",I44*J44)</f>
        <v/>
      </c>
      <c r="L44" s="22" t="n"/>
      <c r="M44" s="23">
        <f>IF(K44="","",MAX(0,K44-IF(L44="",0,L44)))</f>
        <v/>
      </c>
      <c r="N44" s="20" t="n"/>
      <c r="O44" s="20" t="n"/>
      <c r="P44" s="20" t="n"/>
      <c r="Q44" s="20" t="n"/>
      <c r="R44" s="20" t="n"/>
      <c r="S44" s="19">
        <f>IF(A44="","",IF(COUNTIF('Email Log'!B:B,A44)&gt;0,"YES","NO"))</f>
        <v/>
      </c>
    </row>
    <row r="45">
      <c r="A45" s="20" t="n"/>
      <c r="B45" s="20" t="n"/>
      <c r="C45" s="20" t="n"/>
      <c r="D45" s="20" t="n"/>
      <c r="E45" s="20" t="n"/>
      <c r="F45" s="21" t="n"/>
      <c r="G45" s="21" t="n"/>
      <c r="H45" s="20" t="n"/>
      <c r="I45" s="22" t="n"/>
      <c r="J45" s="19">
        <f>IF(OR(F45="",G45=""),"",MAX(0,G45-F45))</f>
        <v/>
      </c>
      <c r="K45" s="23">
        <f>IF(OR(I45="",J45=""),"",I45*J45)</f>
        <v/>
      </c>
      <c r="L45" s="22" t="n"/>
      <c r="M45" s="23">
        <f>IF(K45="","",MAX(0,K45-IF(L45="",0,L45)))</f>
        <v/>
      </c>
      <c r="N45" s="20" t="n"/>
      <c r="O45" s="20" t="n"/>
      <c r="P45" s="20" t="n"/>
      <c r="Q45" s="20" t="n"/>
      <c r="R45" s="20" t="n"/>
      <c r="S45" s="19">
        <f>IF(A45="","",IF(COUNTIF('Email Log'!B:B,A45)&gt;0,"YES","NO"))</f>
        <v/>
      </c>
    </row>
    <row r="46">
      <c r="A46" s="20" t="n"/>
      <c r="B46" s="20" t="n"/>
      <c r="C46" s="20" t="n"/>
      <c r="D46" s="20" t="n"/>
      <c r="E46" s="20" t="n"/>
      <c r="F46" s="21" t="n"/>
      <c r="G46" s="21" t="n"/>
      <c r="H46" s="20" t="n"/>
      <c r="I46" s="22" t="n"/>
      <c r="J46" s="19">
        <f>IF(OR(F46="",G46=""),"",MAX(0,G46-F46))</f>
        <v/>
      </c>
      <c r="K46" s="23">
        <f>IF(OR(I46="",J46=""),"",I46*J46)</f>
        <v/>
      </c>
      <c r="L46" s="22" t="n"/>
      <c r="M46" s="23">
        <f>IF(K46="","",MAX(0,K46-IF(L46="",0,L46)))</f>
        <v/>
      </c>
      <c r="N46" s="20" t="n"/>
      <c r="O46" s="20" t="n"/>
      <c r="P46" s="20" t="n"/>
      <c r="Q46" s="20" t="n"/>
      <c r="R46" s="20" t="n"/>
      <c r="S46" s="19">
        <f>IF(A46="","",IF(COUNTIF('Email Log'!B:B,A46)&gt;0,"YES","NO"))</f>
        <v/>
      </c>
    </row>
    <row r="47">
      <c r="A47" s="20" t="n"/>
      <c r="B47" s="20" t="n"/>
      <c r="C47" s="20" t="n"/>
      <c r="D47" s="20" t="n"/>
      <c r="E47" s="20" t="n"/>
      <c r="F47" s="21" t="n"/>
      <c r="G47" s="21" t="n"/>
      <c r="H47" s="20" t="n"/>
      <c r="I47" s="22" t="n"/>
      <c r="J47" s="19">
        <f>IF(OR(F47="",G47=""),"",MAX(0,G47-F47))</f>
        <v/>
      </c>
      <c r="K47" s="23">
        <f>IF(OR(I47="",J47=""),"",I47*J47)</f>
        <v/>
      </c>
      <c r="L47" s="22" t="n"/>
      <c r="M47" s="23">
        <f>IF(K47="","",MAX(0,K47-IF(L47="",0,L47)))</f>
        <v/>
      </c>
      <c r="N47" s="20" t="n"/>
      <c r="O47" s="20" t="n"/>
      <c r="P47" s="20" t="n"/>
      <c r="Q47" s="20" t="n"/>
      <c r="R47" s="20" t="n"/>
      <c r="S47" s="19">
        <f>IF(A47="","",IF(COUNTIF('Email Log'!B:B,A47)&gt;0,"YES","NO"))</f>
        <v/>
      </c>
    </row>
    <row r="48">
      <c r="A48" s="20" t="n"/>
      <c r="B48" s="20" t="n"/>
      <c r="C48" s="20" t="n"/>
      <c r="D48" s="20" t="n"/>
      <c r="E48" s="20" t="n"/>
      <c r="F48" s="21" t="n"/>
      <c r="G48" s="21" t="n"/>
      <c r="H48" s="20" t="n"/>
      <c r="I48" s="22" t="n"/>
      <c r="J48" s="19">
        <f>IF(OR(F48="",G48=""),"",MAX(0,G48-F48))</f>
        <v/>
      </c>
      <c r="K48" s="23">
        <f>IF(OR(I48="",J48=""),"",I48*J48)</f>
        <v/>
      </c>
      <c r="L48" s="22" t="n"/>
      <c r="M48" s="23">
        <f>IF(K48="","",MAX(0,K48-IF(L48="",0,L48)))</f>
        <v/>
      </c>
      <c r="N48" s="20" t="n"/>
      <c r="O48" s="20" t="n"/>
      <c r="P48" s="20" t="n"/>
      <c r="Q48" s="20" t="n"/>
      <c r="R48" s="20" t="n"/>
      <c r="S48" s="19">
        <f>IF(A48="","",IF(COUNTIF('Email Log'!B:B,A48)&gt;0,"YES","NO"))</f>
        <v/>
      </c>
    </row>
    <row r="49">
      <c r="A49" s="20" t="n"/>
      <c r="B49" s="20" t="n"/>
      <c r="C49" s="20" t="n"/>
      <c r="D49" s="20" t="n"/>
      <c r="E49" s="20" t="n"/>
      <c r="F49" s="21" t="n"/>
      <c r="G49" s="21" t="n"/>
      <c r="H49" s="20" t="n"/>
      <c r="I49" s="22" t="n"/>
      <c r="J49" s="19">
        <f>IF(OR(F49="",G49=""),"",MAX(0,G49-F49))</f>
        <v/>
      </c>
      <c r="K49" s="23">
        <f>IF(OR(I49="",J49=""),"",I49*J49)</f>
        <v/>
      </c>
      <c r="L49" s="22" t="n"/>
      <c r="M49" s="23">
        <f>IF(K49="","",MAX(0,K49-IF(L49="",0,L49)))</f>
        <v/>
      </c>
      <c r="N49" s="20" t="n"/>
      <c r="O49" s="20" t="n"/>
      <c r="P49" s="20" t="n"/>
      <c r="Q49" s="20" t="n"/>
      <c r="R49" s="20" t="n"/>
      <c r="S49" s="19">
        <f>IF(A49="","",IF(COUNTIF('Email Log'!B:B,A49)&gt;0,"YES","NO"))</f>
        <v/>
      </c>
    </row>
    <row r="50">
      <c r="A50" s="20" t="n"/>
      <c r="B50" s="20" t="n"/>
      <c r="C50" s="20" t="n"/>
      <c r="D50" s="20" t="n"/>
      <c r="E50" s="20" t="n"/>
      <c r="F50" s="21" t="n"/>
      <c r="G50" s="21" t="n"/>
      <c r="H50" s="20" t="n"/>
      <c r="I50" s="22" t="n"/>
      <c r="J50" s="19">
        <f>IF(OR(F50="",G50=""),"",MAX(0,G50-F50))</f>
        <v/>
      </c>
      <c r="K50" s="23">
        <f>IF(OR(I50="",J50=""),"",I50*J50)</f>
        <v/>
      </c>
      <c r="L50" s="22" t="n"/>
      <c r="M50" s="23">
        <f>IF(K50="","",MAX(0,K50-IF(L50="",0,L50)))</f>
        <v/>
      </c>
      <c r="N50" s="20" t="n"/>
      <c r="O50" s="20" t="n"/>
      <c r="P50" s="20" t="n"/>
      <c r="Q50" s="20" t="n"/>
      <c r="R50" s="20" t="n"/>
      <c r="S50" s="19">
        <f>IF(A50="","",IF(COUNTIF('Email Log'!B:B,A50)&gt;0,"YES","NO"))</f>
        <v/>
      </c>
    </row>
    <row r="51">
      <c r="A51" s="20" t="n"/>
      <c r="B51" s="20" t="n"/>
      <c r="C51" s="20" t="n"/>
      <c r="D51" s="20" t="n"/>
      <c r="E51" s="20" t="n"/>
      <c r="F51" s="21" t="n"/>
      <c r="G51" s="21" t="n"/>
      <c r="H51" s="20" t="n"/>
      <c r="I51" s="22" t="n"/>
      <c r="J51" s="19">
        <f>IF(OR(F51="",G51=""),"",MAX(0,G51-F51))</f>
        <v/>
      </c>
      <c r="K51" s="23">
        <f>IF(OR(I51="",J51=""),"",I51*J51)</f>
        <v/>
      </c>
      <c r="L51" s="22" t="n"/>
      <c r="M51" s="23">
        <f>IF(K51="","",MAX(0,K51-IF(L51="",0,L51)))</f>
        <v/>
      </c>
      <c r="N51" s="20" t="n"/>
      <c r="O51" s="20" t="n"/>
      <c r="P51" s="20" t="n"/>
      <c r="Q51" s="20" t="n"/>
      <c r="R51" s="20" t="n"/>
      <c r="S51" s="19">
        <f>IF(A51="","",IF(COUNTIF('Email Log'!B:B,A51)&gt;0,"YES","NO"))</f>
        <v/>
      </c>
    </row>
    <row r="52">
      <c r="A52" s="20" t="n"/>
      <c r="B52" s="20" t="n"/>
      <c r="C52" s="20" t="n"/>
      <c r="D52" s="20" t="n"/>
      <c r="E52" s="20" t="n"/>
      <c r="F52" s="21" t="n"/>
      <c r="G52" s="21" t="n"/>
      <c r="H52" s="20" t="n"/>
      <c r="I52" s="22" t="n"/>
      <c r="J52" s="19">
        <f>IF(OR(F52="",G52=""),"",MAX(0,G52-F52))</f>
        <v/>
      </c>
      <c r="K52" s="23">
        <f>IF(OR(I52="",J52=""),"",I52*J52)</f>
        <v/>
      </c>
      <c r="L52" s="22" t="n"/>
      <c r="M52" s="23">
        <f>IF(K52="","",MAX(0,K52-IF(L52="",0,L52)))</f>
        <v/>
      </c>
      <c r="N52" s="20" t="n"/>
      <c r="O52" s="20" t="n"/>
      <c r="P52" s="20" t="n"/>
      <c r="Q52" s="20" t="n"/>
      <c r="R52" s="20" t="n"/>
      <c r="S52" s="19">
        <f>IF(A52="","",IF(COUNTIF('Email Log'!B:B,A52)&gt;0,"YES","NO"))</f>
        <v/>
      </c>
    </row>
    <row r="53">
      <c r="A53" s="20" t="n"/>
      <c r="B53" s="20" t="n"/>
      <c r="C53" s="20" t="n"/>
      <c r="D53" s="20" t="n"/>
      <c r="E53" s="20" t="n"/>
      <c r="F53" s="21" t="n"/>
      <c r="G53" s="21" t="n"/>
      <c r="H53" s="20" t="n"/>
      <c r="I53" s="22" t="n"/>
      <c r="J53" s="19">
        <f>IF(OR(F53="",G53=""),"",MAX(0,G53-F53))</f>
        <v/>
      </c>
      <c r="K53" s="23">
        <f>IF(OR(I53="",J53=""),"",I53*J53)</f>
        <v/>
      </c>
      <c r="L53" s="22" t="n"/>
      <c r="M53" s="23">
        <f>IF(K53="","",MAX(0,K53-IF(L53="",0,L53)))</f>
        <v/>
      </c>
      <c r="N53" s="20" t="n"/>
      <c r="O53" s="20" t="n"/>
      <c r="P53" s="20" t="n"/>
      <c r="Q53" s="20" t="n"/>
      <c r="R53" s="20" t="n"/>
      <c r="S53" s="19">
        <f>IF(A53="","",IF(COUNTIF('Email Log'!B:B,A53)&gt;0,"YES","NO"))</f>
        <v/>
      </c>
    </row>
    <row r="54">
      <c r="A54" s="20" t="n"/>
      <c r="B54" s="20" t="n"/>
      <c r="C54" s="20" t="n"/>
      <c r="D54" s="20" t="n"/>
      <c r="E54" s="20" t="n"/>
      <c r="F54" s="21" t="n"/>
      <c r="G54" s="21" t="n"/>
      <c r="H54" s="20" t="n"/>
      <c r="I54" s="22" t="n"/>
      <c r="J54" s="19">
        <f>IF(OR(F54="",G54=""),"",MAX(0,G54-F54))</f>
        <v/>
      </c>
      <c r="K54" s="23">
        <f>IF(OR(I54="",J54=""),"",I54*J54)</f>
        <v/>
      </c>
      <c r="L54" s="22" t="n"/>
      <c r="M54" s="23">
        <f>IF(K54="","",MAX(0,K54-IF(L54="",0,L54)))</f>
        <v/>
      </c>
      <c r="N54" s="20" t="n"/>
      <c r="O54" s="20" t="n"/>
      <c r="P54" s="20" t="n"/>
      <c r="Q54" s="20" t="n"/>
      <c r="R54" s="20" t="n"/>
      <c r="S54" s="19">
        <f>IF(A54="","",IF(COUNTIF('Email Log'!B:B,A54)&gt;0,"YES","NO"))</f>
        <v/>
      </c>
    </row>
    <row r="55">
      <c r="A55" s="20" t="n"/>
      <c r="B55" s="20" t="n"/>
      <c r="C55" s="20" t="n"/>
      <c r="D55" s="20" t="n"/>
      <c r="E55" s="20" t="n"/>
      <c r="F55" s="21" t="n"/>
      <c r="G55" s="21" t="n"/>
      <c r="H55" s="20" t="n"/>
      <c r="I55" s="22" t="n"/>
      <c r="J55" s="19">
        <f>IF(OR(F55="",G55=""),"",MAX(0,G55-F55))</f>
        <v/>
      </c>
      <c r="K55" s="23">
        <f>IF(OR(I55="",J55=""),"",I55*J55)</f>
        <v/>
      </c>
      <c r="L55" s="22" t="n"/>
      <c r="M55" s="23">
        <f>IF(K55="","",MAX(0,K55-IF(L55="",0,L55)))</f>
        <v/>
      </c>
      <c r="N55" s="20" t="n"/>
      <c r="O55" s="20" t="n"/>
      <c r="P55" s="20" t="n"/>
      <c r="Q55" s="20" t="n"/>
      <c r="R55" s="20" t="n"/>
      <c r="S55" s="19">
        <f>IF(A55="","",IF(COUNTIF('Email Log'!B:B,A55)&gt;0,"YES","NO"))</f>
        <v/>
      </c>
    </row>
    <row r="56">
      <c r="A56" s="20" t="n"/>
      <c r="B56" s="20" t="n"/>
      <c r="C56" s="20" t="n"/>
      <c r="D56" s="20" t="n"/>
      <c r="E56" s="20" t="n"/>
      <c r="F56" s="21" t="n"/>
      <c r="G56" s="21" t="n"/>
      <c r="H56" s="20" t="n"/>
      <c r="I56" s="22" t="n"/>
      <c r="J56" s="19">
        <f>IF(OR(F56="",G56=""),"",MAX(0,G56-F56))</f>
        <v/>
      </c>
      <c r="K56" s="23">
        <f>IF(OR(I56="",J56=""),"",I56*J56)</f>
        <v/>
      </c>
      <c r="L56" s="22" t="n"/>
      <c r="M56" s="23">
        <f>IF(K56="","",MAX(0,K56-IF(L56="",0,L56)))</f>
        <v/>
      </c>
      <c r="N56" s="20" t="n"/>
      <c r="O56" s="20" t="n"/>
      <c r="P56" s="20" t="n"/>
      <c r="Q56" s="20" t="n"/>
      <c r="R56" s="20" t="n"/>
      <c r="S56" s="19">
        <f>IF(A56="","",IF(COUNTIF('Email Log'!B:B,A56)&gt;0,"YES","NO"))</f>
        <v/>
      </c>
    </row>
    <row r="57">
      <c r="A57" s="20" t="n"/>
      <c r="B57" s="20" t="n"/>
      <c r="C57" s="20" t="n"/>
      <c r="D57" s="20" t="n"/>
      <c r="E57" s="20" t="n"/>
      <c r="F57" s="21" t="n"/>
      <c r="G57" s="21" t="n"/>
      <c r="H57" s="20" t="n"/>
      <c r="I57" s="22" t="n"/>
      <c r="J57" s="19">
        <f>IF(OR(F57="",G57=""),"",MAX(0,G57-F57))</f>
        <v/>
      </c>
      <c r="K57" s="23">
        <f>IF(OR(I57="",J57=""),"",I57*J57)</f>
        <v/>
      </c>
      <c r="L57" s="22" t="n"/>
      <c r="M57" s="23">
        <f>IF(K57="","",MAX(0,K57-IF(L57="",0,L57)))</f>
        <v/>
      </c>
      <c r="N57" s="20" t="n"/>
      <c r="O57" s="20" t="n"/>
      <c r="P57" s="20" t="n"/>
      <c r="Q57" s="20" t="n"/>
      <c r="R57" s="20" t="n"/>
      <c r="S57" s="19">
        <f>IF(A57="","",IF(COUNTIF('Email Log'!B:B,A57)&gt;0,"YES","NO"))</f>
        <v/>
      </c>
    </row>
    <row r="58">
      <c r="A58" s="20" t="n"/>
      <c r="B58" s="20" t="n"/>
      <c r="C58" s="20" t="n"/>
      <c r="D58" s="20" t="n"/>
      <c r="E58" s="20" t="n"/>
      <c r="F58" s="21" t="n"/>
      <c r="G58" s="21" t="n"/>
      <c r="H58" s="20" t="n"/>
      <c r="I58" s="22" t="n"/>
      <c r="J58" s="19">
        <f>IF(OR(F58="",G58=""),"",MAX(0,G58-F58))</f>
        <v/>
      </c>
      <c r="K58" s="23">
        <f>IF(OR(I58="",J58=""),"",I58*J58)</f>
        <v/>
      </c>
      <c r="L58" s="22" t="n"/>
      <c r="M58" s="23">
        <f>IF(K58="","",MAX(0,K58-IF(L58="",0,L58)))</f>
        <v/>
      </c>
      <c r="N58" s="20" t="n"/>
      <c r="O58" s="20" t="n"/>
      <c r="P58" s="20" t="n"/>
      <c r="Q58" s="20" t="n"/>
      <c r="R58" s="20" t="n"/>
      <c r="S58" s="19">
        <f>IF(A58="","",IF(COUNTIF('Email Log'!B:B,A58)&gt;0,"YES","NO"))</f>
        <v/>
      </c>
    </row>
    <row r="59">
      <c r="A59" s="20" t="n"/>
      <c r="B59" s="20" t="n"/>
      <c r="C59" s="20" t="n"/>
      <c r="D59" s="20" t="n"/>
      <c r="E59" s="20" t="n"/>
      <c r="F59" s="21" t="n"/>
      <c r="G59" s="21" t="n"/>
      <c r="H59" s="20" t="n"/>
      <c r="I59" s="22" t="n"/>
      <c r="J59" s="19">
        <f>IF(OR(F59="",G59=""),"",MAX(0,G59-F59))</f>
        <v/>
      </c>
      <c r="K59" s="23">
        <f>IF(OR(I59="",J59=""),"",I59*J59)</f>
        <v/>
      </c>
      <c r="L59" s="22" t="n"/>
      <c r="M59" s="23">
        <f>IF(K59="","",MAX(0,K59-IF(L59="",0,L59)))</f>
        <v/>
      </c>
      <c r="N59" s="20" t="n"/>
      <c r="O59" s="20" t="n"/>
      <c r="P59" s="20" t="n"/>
      <c r="Q59" s="20" t="n"/>
      <c r="R59" s="20" t="n"/>
      <c r="S59" s="19">
        <f>IF(A59="","",IF(COUNTIF('Email Log'!B:B,A59)&gt;0,"YES","NO"))</f>
        <v/>
      </c>
    </row>
    <row r="60">
      <c r="A60" s="20" t="n"/>
      <c r="B60" s="20" t="n"/>
      <c r="C60" s="20" t="n"/>
      <c r="D60" s="20" t="n"/>
      <c r="E60" s="20" t="n"/>
      <c r="F60" s="21" t="n"/>
      <c r="G60" s="21" t="n"/>
      <c r="H60" s="20" t="n"/>
      <c r="I60" s="22" t="n"/>
      <c r="J60" s="19">
        <f>IF(OR(F60="",G60=""),"",MAX(0,G60-F60))</f>
        <v/>
      </c>
      <c r="K60" s="23">
        <f>IF(OR(I60="",J60=""),"",I60*J60)</f>
        <v/>
      </c>
      <c r="L60" s="22" t="n"/>
      <c r="M60" s="23">
        <f>IF(K60="","",MAX(0,K60-IF(L60="",0,L60)))</f>
        <v/>
      </c>
      <c r="N60" s="20" t="n"/>
      <c r="O60" s="20" t="n"/>
      <c r="P60" s="20" t="n"/>
      <c r="Q60" s="20" t="n"/>
      <c r="R60" s="20" t="n"/>
      <c r="S60" s="19">
        <f>IF(A60="","",IF(COUNTIF('Email Log'!B:B,A60)&gt;0,"YES","NO"))</f>
        <v/>
      </c>
    </row>
    <row r="61">
      <c r="A61" s="20" t="n"/>
      <c r="B61" s="20" t="n"/>
      <c r="C61" s="20" t="n"/>
      <c r="D61" s="20" t="n"/>
      <c r="E61" s="20" t="n"/>
      <c r="F61" s="21" t="n"/>
      <c r="G61" s="21" t="n"/>
      <c r="H61" s="20" t="n"/>
      <c r="I61" s="22" t="n"/>
      <c r="J61" s="19">
        <f>IF(OR(F61="",G61=""),"",MAX(0,G61-F61))</f>
        <v/>
      </c>
      <c r="K61" s="23">
        <f>IF(OR(I61="",J61=""),"",I61*J61)</f>
        <v/>
      </c>
      <c r="L61" s="22" t="n"/>
      <c r="M61" s="23">
        <f>IF(K61="","",MAX(0,K61-IF(L61="",0,L61)))</f>
        <v/>
      </c>
      <c r="N61" s="20" t="n"/>
      <c r="O61" s="20" t="n"/>
      <c r="P61" s="20" t="n"/>
      <c r="Q61" s="20" t="n"/>
      <c r="R61" s="20" t="n"/>
      <c r="S61" s="19">
        <f>IF(A61="","",IF(COUNTIF('Email Log'!B:B,A61)&gt;0,"YES","NO"))</f>
        <v/>
      </c>
    </row>
    <row r="62">
      <c r="A62" s="20" t="n"/>
      <c r="B62" s="20" t="n"/>
      <c r="C62" s="20" t="n"/>
      <c r="D62" s="20" t="n"/>
      <c r="E62" s="20" t="n"/>
      <c r="F62" s="21" t="n"/>
      <c r="G62" s="21" t="n"/>
      <c r="H62" s="20" t="n"/>
      <c r="I62" s="22" t="n"/>
      <c r="J62" s="19">
        <f>IF(OR(F62="",G62=""),"",MAX(0,G62-F62))</f>
        <v/>
      </c>
      <c r="K62" s="23">
        <f>IF(OR(I62="",J62=""),"",I62*J62)</f>
        <v/>
      </c>
      <c r="L62" s="22" t="n"/>
      <c r="M62" s="23">
        <f>IF(K62="","",MAX(0,K62-IF(L62="",0,L62)))</f>
        <v/>
      </c>
      <c r="N62" s="20" t="n"/>
      <c r="O62" s="20" t="n"/>
      <c r="P62" s="20" t="n"/>
      <c r="Q62" s="20" t="n"/>
      <c r="R62" s="20" t="n"/>
      <c r="S62" s="19">
        <f>IF(A62="","",IF(COUNTIF('Email Log'!B:B,A62)&gt;0,"YES","NO"))</f>
        <v/>
      </c>
    </row>
    <row r="63">
      <c r="A63" s="20" t="n"/>
      <c r="B63" s="20" t="n"/>
      <c r="C63" s="20" t="n"/>
      <c r="D63" s="20" t="n"/>
      <c r="E63" s="20" t="n"/>
      <c r="F63" s="21" t="n"/>
      <c r="G63" s="21" t="n"/>
      <c r="H63" s="20" t="n"/>
      <c r="I63" s="22" t="n"/>
      <c r="J63" s="19">
        <f>IF(OR(F63="",G63=""),"",MAX(0,G63-F63))</f>
        <v/>
      </c>
      <c r="K63" s="23">
        <f>IF(OR(I63="",J63=""),"",I63*J63)</f>
        <v/>
      </c>
      <c r="L63" s="22" t="n"/>
      <c r="M63" s="23">
        <f>IF(K63="","",MAX(0,K63-IF(L63="",0,L63)))</f>
        <v/>
      </c>
      <c r="N63" s="20" t="n"/>
      <c r="O63" s="20" t="n"/>
      <c r="P63" s="20" t="n"/>
      <c r="Q63" s="20" t="n"/>
      <c r="R63" s="20" t="n"/>
      <c r="S63" s="19">
        <f>IF(A63="","",IF(COUNTIF('Email Log'!B:B,A63)&gt;0,"YES","NO"))</f>
        <v/>
      </c>
    </row>
    <row r="64">
      <c r="A64" s="20" t="n"/>
      <c r="B64" s="20" t="n"/>
      <c r="C64" s="20" t="n"/>
      <c r="D64" s="20" t="n"/>
      <c r="E64" s="20" t="n"/>
      <c r="F64" s="21" t="n"/>
      <c r="G64" s="21" t="n"/>
      <c r="H64" s="20" t="n"/>
      <c r="I64" s="22" t="n"/>
      <c r="J64" s="19">
        <f>IF(OR(F64="",G64=""),"",MAX(0,G64-F64))</f>
        <v/>
      </c>
      <c r="K64" s="23">
        <f>IF(OR(I64="",J64=""),"",I64*J64)</f>
        <v/>
      </c>
      <c r="L64" s="22" t="n"/>
      <c r="M64" s="23">
        <f>IF(K64="","",MAX(0,K64-IF(L64="",0,L64)))</f>
        <v/>
      </c>
      <c r="N64" s="20" t="n"/>
      <c r="O64" s="20" t="n"/>
      <c r="P64" s="20" t="n"/>
      <c r="Q64" s="20" t="n"/>
      <c r="R64" s="20" t="n"/>
      <c r="S64" s="19">
        <f>IF(A64="","",IF(COUNTIF('Email Log'!B:B,A64)&gt;0,"YES","NO"))</f>
        <v/>
      </c>
    </row>
    <row r="65">
      <c r="A65" s="20" t="n"/>
      <c r="B65" s="20" t="n"/>
      <c r="C65" s="20" t="n"/>
      <c r="D65" s="20" t="n"/>
      <c r="E65" s="20" t="n"/>
      <c r="F65" s="21" t="n"/>
      <c r="G65" s="21" t="n"/>
      <c r="H65" s="20" t="n"/>
      <c r="I65" s="22" t="n"/>
      <c r="J65" s="19">
        <f>IF(OR(F65="",G65=""),"",MAX(0,G65-F65))</f>
        <v/>
      </c>
      <c r="K65" s="23">
        <f>IF(OR(I65="",J65=""),"",I65*J65)</f>
        <v/>
      </c>
      <c r="L65" s="22" t="n"/>
      <c r="M65" s="23">
        <f>IF(K65="","",MAX(0,K65-IF(L65="",0,L65)))</f>
        <v/>
      </c>
      <c r="N65" s="20" t="n"/>
      <c r="O65" s="20" t="n"/>
      <c r="P65" s="20" t="n"/>
      <c r="Q65" s="20" t="n"/>
      <c r="R65" s="20" t="n"/>
      <c r="S65" s="19">
        <f>IF(A65="","",IF(COUNTIF('Email Log'!B:B,A65)&gt;0,"YES","NO"))</f>
        <v/>
      </c>
    </row>
    <row r="66">
      <c r="A66" s="20" t="n"/>
      <c r="B66" s="20" t="n"/>
      <c r="C66" s="20" t="n"/>
      <c r="D66" s="20" t="n"/>
      <c r="E66" s="20" t="n"/>
      <c r="F66" s="21" t="n"/>
      <c r="G66" s="21" t="n"/>
      <c r="H66" s="20" t="n"/>
      <c r="I66" s="22" t="n"/>
      <c r="J66" s="19">
        <f>IF(OR(F66="",G66=""),"",MAX(0,G66-F66))</f>
        <v/>
      </c>
      <c r="K66" s="23">
        <f>IF(OR(I66="",J66=""),"",I66*J66)</f>
        <v/>
      </c>
      <c r="L66" s="22" t="n"/>
      <c r="M66" s="23">
        <f>IF(K66="","",MAX(0,K66-IF(L66="",0,L66)))</f>
        <v/>
      </c>
      <c r="N66" s="20" t="n"/>
      <c r="O66" s="20" t="n"/>
      <c r="P66" s="20" t="n"/>
      <c r="Q66" s="20" t="n"/>
      <c r="R66" s="20" t="n"/>
      <c r="S66" s="19">
        <f>IF(A66="","",IF(COUNTIF('Email Log'!B:B,A66)&gt;0,"YES","NO"))</f>
        <v/>
      </c>
    </row>
    <row r="67">
      <c r="A67" s="20" t="n"/>
      <c r="B67" s="20" t="n"/>
      <c r="C67" s="20" t="n"/>
      <c r="D67" s="20" t="n"/>
      <c r="E67" s="20" t="n"/>
      <c r="F67" s="21" t="n"/>
      <c r="G67" s="21" t="n"/>
      <c r="H67" s="20" t="n"/>
      <c r="I67" s="22" t="n"/>
      <c r="J67" s="19">
        <f>IF(OR(F67="",G67=""),"",MAX(0,G67-F67))</f>
        <v/>
      </c>
      <c r="K67" s="23">
        <f>IF(OR(I67="",J67=""),"",I67*J67)</f>
        <v/>
      </c>
      <c r="L67" s="22" t="n"/>
      <c r="M67" s="23">
        <f>IF(K67="","",MAX(0,K67-IF(L67="",0,L67)))</f>
        <v/>
      </c>
      <c r="N67" s="20" t="n"/>
      <c r="O67" s="20" t="n"/>
      <c r="P67" s="20" t="n"/>
      <c r="Q67" s="20" t="n"/>
      <c r="R67" s="20" t="n"/>
      <c r="S67" s="19">
        <f>IF(A67="","",IF(COUNTIF('Email Log'!B:B,A67)&gt;0,"YES","NO"))</f>
        <v/>
      </c>
    </row>
    <row r="68">
      <c r="A68" s="20" t="n"/>
      <c r="B68" s="20" t="n"/>
      <c r="C68" s="20" t="n"/>
      <c r="D68" s="20" t="n"/>
      <c r="E68" s="20" t="n"/>
      <c r="F68" s="21" t="n"/>
      <c r="G68" s="21" t="n"/>
      <c r="H68" s="20" t="n"/>
      <c r="I68" s="22" t="n"/>
      <c r="J68" s="19">
        <f>IF(OR(F68="",G68=""),"",MAX(0,G68-F68))</f>
        <v/>
      </c>
      <c r="K68" s="23">
        <f>IF(OR(I68="",J68=""),"",I68*J68)</f>
        <v/>
      </c>
      <c r="L68" s="22" t="n"/>
      <c r="M68" s="23">
        <f>IF(K68="","",MAX(0,K68-IF(L68="",0,L68)))</f>
        <v/>
      </c>
      <c r="N68" s="20" t="n"/>
      <c r="O68" s="20" t="n"/>
      <c r="P68" s="20" t="n"/>
      <c r="Q68" s="20" t="n"/>
      <c r="R68" s="20" t="n"/>
      <c r="S68" s="19">
        <f>IF(A68="","",IF(COUNTIF('Email Log'!B:B,A68)&gt;0,"YES","NO"))</f>
        <v/>
      </c>
    </row>
    <row r="69">
      <c r="A69" s="20" t="n"/>
      <c r="B69" s="20" t="n"/>
      <c r="C69" s="20" t="n"/>
      <c r="D69" s="20" t="n"/>
      <c r="E69" s="20" t="n"/>
      <c r="F69" s="21" t="n"/>
      <c r="G69" s="21" t="n"/>
      <c r="H69" s="20" t="n"/>
      <c r="I69" s="22" t="n"/>
      <c r="J69" s="19">
        <f>IF(OR(F69="",G69=""),"",MAX(0,G69-F69))</f>
        <v/>
      </c>
      <c r="K69" s="23">
        <f>IF(OR(I69="",J69=""),"",I69*J69)</f>
        <v/>
      </c>
      <c r="L69" s="22" t="n"/>
      <c r="M69" s="23">
        <f>IF(K69="","",MAX(0,K69-IF(L69="",0,L69)))</f>
        <v/>
      </c>
      <c r="N69" s="20" t="n"/>
      <c r="O69" s="20" t="n"/>
      <c r="P69" s="20" t="n"/>
      <c r="Q69" s="20" t="n"/>
      <c r="R69" s="20" t="n"/>
      <c r="S69" s="19">
        <f>IF(A69="","",IF(COUNTIF('Email Log'!B:B,A69)&gt;0,"YES","NO"))</f>
        <v/>
      </c>
    </row>
    <row r="70">
      <c r="A70" s="20" t="n"/>
      <c r="B70" s="20" t="n"/>
      <c r="C70" s="20" t="n"/>
      <c r="D70" s="20" t="n"/>
      <c r="E70" s="20" t="n"/>
      <c r="F70" s="21" t="n"/>
      <c r="G70" s="21" t="n"/>
      <c r="H70" s="20" t="n"/>
      <c r="I70" s="22" t="n"/>
      <c r="J70" s="19">
        <f>IF(OR(F70="",G70=""),"",MAX(0,G70-F70))</f>
        <v/>
      </c>
      <c r="K70" s="23">
        <f>IF(OR(I70="",J70=""),"",I70*J70)</f>
        <v/>
      </c>
      <c r="L70" s="22" t="n"/>
      <c r="M70" s="23">
        <f>IF(K70="","",MAX(0,K70-IF(L70="",0,L70)))</f>
        <v/>
      </c>
      <c r="N70" s="20" t="n"/>
      <c r="O70" s="20" t="n"/>
      <c r="P70" s="20" t="n"/>
      <c r="Q70" s="20" t="n"/>
      <c r="R70" s="20" t="n"/>
      <c r="S70" s="19">
        <f>IF(A70="","",IF(COUNTIF('Email Log'!B:B,A70)&gt;0,"YES","NO"))</f>
        <v/>
      </c>
    </row>
    <row r="71">
      <c r="A71" s="20" t="n"/>
      <c r="B71" s="20" t="n"/>
      <c r="C71" s="20" t="n"/>
      <c r="D71" s="20" t="n"/>
      <c r="E71" s="20" t="n"/>
      <c r="F71" s="21" t="n"/>
      <c r="G71" s="21" t="n"/>
      <c r="H71" s="20" t="n"/>
      <c r="I71" s="22" t="n"/>
      <c r="J71" s="19">
        <f>IF(OR(F71="",G71=""),"",MAX(0,G71-F71))</f>
        <v/>
      </c>
      <c r="K71" s="23">
        <f>IF(OR(I71="",J71=""),"",I71*J71)</f>
        <v/>
      </c>
      <c r="L71" s="22" t="n"/>
      <c r="M71" s="23">
        <f>IF(K71="","",MAX(0,K71-IF(L71="",0,L71)))</f>
        <v/>
      </c>
      <c r="N71" s="20" t="n"/>
      <c r="O71" s="20" t="n"/>
      <c r="P71" s="20" t="n"/>
      <c r="Q71" s="20" t="n"/>
      <c r="R71" s="20" t="n"/>
      <c r="S71" s="19">
        <f>IF(A71="","",IF(COUNTIF('Email Log'!B:B,A71)&gt;0,"YES","NO"))</f>
        <v/>
      </c>
    </row>
    <row r="72">
      <c r="A72" s="20" t="n"/>
      <c r="B72" s="20" t="n"/>
      <c r="C72" s="20" t="n"/>
      <c r="D72" s="20" t="n"/>
      <c r="E72" s="20" t="n"/>
      <c r="F72" s="21" t="n"/>
      <c r="G72" s="21" t="n"/>
      <c r="H72" s="20" t="n"/>
      <c r="I72" s="22" t="n"/>
      <c r="J72" s="19">
        <f>IF(OR(F72="",G72=""),"",MAX(0,G72-F72))</f>
        <v/>
      </c>
      <c r="K72" s="23">
        <f>IF(OR(I72="",J72=""),"",I72*J72)</f>
        <v/>
      </c>
      <c r="L72" s="22" t="n"/>
      <c r="M72" s="23">
        <f>IF(K72="","",MAX(0,K72-IF(L72="",0,L72)))</f>
        <v/>
      </c>
      <c r="N72" s="20" t="n"/>
      <c r="O72" s="20" t="n"/>
      <c r="P72" s="20" t="n"/>
      <c r="Q72" s="20" t="n"/>
      <c r="R72" s="20" t="n"/>
      <c r="S72" s="19">
        <f>IF(A72="","",IF(COUNTIF('Email Log'!B:B,A72)&gt;0,"YES","NO"))</f>
        <v/>
      </c>
    </row>
    <row r="73">
      <c r="A73" s="20" t="n"/>
      <c r="B73" s="20" t="n"/>
      <c r="C73" s="20" t="n"/>
      <c r="D73" s="20" t="n"/>
      <c r="E73" s="20" t="n"/>
      <c r="F73" s="21" t="n"/>
      <c r="G73" s="21" t="n"/>
      <c r="H73" s="20" t="n"/>
      <c r="I73" s="22" t="n"/>
      <c r="J73" s="19">
        <f>IF(OR(F73="",G73=""),"",MAX(0,G73-F73))</f>
        <v/>
      </c>
      <c r="K73" s="23">
        <f>IF(OR(I73="",J73=""),"",I73*J73)</f>
        <v/>
      </c>
      <c r="L73" s="22" t="n"/>
      <c r="M73" s="23">
        <f>IF(K73="","",MAX(0,K73-IF(L73="",0,L73)))</f>
        <v/>
      </c>
      <c r="N73" s="20" t="n"/>
      <c r="O73" s="20" t="n"/>
      <c r="P73" s="20" t="n"/>
      <c r="Q73" s="20" t="n"/>
      <c r="R73" s="20" t="n"/>
      <c r="S73" s="19">
        <f>IF(A73="","",IF(COUNTIF('Email Log'!B:B,A73)&gt;0,"YES","NO"))</f>
        <v/>
      </c>
    </row>
    <row r="74">
      <c r="A74" s="20" t="n"/>
      <c r="B74" s="20" t="n"/>
      <c r="C74" s="20" t="n"/>
      <c r="D74" s="20" t="n"/>
      <c r="E74" s="20" t="n"/>
      <c r="F74" s="21" t="n"/>
      <c r="G74" s="21" t="n"/>
      <c r="H74" s="20" t="n"/>
      <c r="I74" s="22" t="n"/>
      <c r="J74" s="19">
        <f>IF(OR(F74="",G74=""),"",MAX(0,G74-F74))</f>
        <v/>
      </c>
      <c r="K74" s="23">
        <f>IF(OR(I74="",J74=""),"",I74*J74)</f>
        <v/>
      </c>
      <c r="L74" s="22" t="n"/>
      <c r="M74" s="23">
        <f>IF(K74="","",MAX(0,K74-IF(L74="",0,L74)))</f>
        <v/>
      </c>
      <c r="N74" s="20" t="n"/>
      <c r="O74" s="20" t="n"/>
      <c r="P74" s="20" t="n"/>
      <c r="Q74" s="20" t="n"/>
      <c r="R74" s="20" t="n"/>
      <c r="S74" s="19">
        <f>IF(A74="","",IF(COUNTIF('Email Log'!B:B,A74)&gt;0,"YES","NO"))</f>
        <v/>
      </c>
    </row>
    <row r="75">
      <c r="A75" s="20" t="n"/>
      <c r="B75" s="20" t="n"/>
      <c r="C75" s="20" t="n"/>
      <c r="D75" s="20" t="n"/>
      <c r="E75" s="20" t="n"/>
      <c r="F75" s="21" t="n"/>
      <c r="G75" s="21" t="n"/>
      <c r="H75" s="20" t="n"/>
      <c r="I75" s="22" t="n"/>
      <c r="J75" s="19">
        <f>IF(OR(F75="",G75=""),"",MAX(0,G75-F75))</f>
        <v/>
      </c>
      <c r="K75" s="23">
        <f>IF(OR(I75="",J75=""),"",I75*J75)</f>
        <v/>
      </c>
      <c r="L75" s="22" t="n"/>
      <c r="M75" s="23">
        <f>IF(K75="","",MAX(0,K75-IF(L75="",0,L75)))</f>
        <v/>
      </c>
      <c r="N75" s="20" t="n"/>
      <c r="O75" s="20" t="n"/>
      <c r="P75" s="20" t="n"/>
      <c r="Q75" s="20" t="n"/>
      <c r="R75" s="20" t="n"/>
      <c r="S75" s="19">
        <f>IF(A75="","",IF(COUNTIF('Email Log'!B:B,A75)&gt;0,"YES","NO"))</f>
        <v/>
      </c>
    </row>
    <row r="76">
      <c r="A76" s="20" t="n"/>
      <c r="B76" s="20" t="n"/>
      <c r="C76" s="20" t="n"/>
      <c r="D76" s="20" t="n"/>
      <c r="E76" s="20" t="n"/>
      <c r="F76" s="21" t="n"/>
      <c r="G76" s="21" t="n"/>
      <c r="H76" s="20" t="n"/>
      <c r="I76" s="22" t="n"/>
      <c r="J76" s="19">
        <f>IF(OR(F76="",G76=""),"",MAX(0,G76-F76))</f>
        <v/>
      </c>
      <c r="K76" s="23">
        <f>IF(OR(I76="",J76=""),"",I76*J76)</f>
        <v/>
      </c>
      <c r="L76" s="22" t="n"/>
      <c r="M76" s="23">
        <f>IF(K76="","",MAX(0,K76-IF(L76="",0,L76)))</f>
        <v/>
      </c>
      <c r="N76" s="20" t="n"/>
      <c r="O76" s="20" t="n"/>
      <c r="P76" s="20" t="n"/>
      <c r="Q76" s="20" t="n"/>
      <c r="R76" s="20" t="n"/>
      <c r="S76" s="19">
        <f>IF(A76="","",IF(COUNTIF('Email Log'!B:B,A76)&gt;0,"YES","NO"))</f>
        <v/>
      </c>
    </row>
    <row r="77">
      <c r="A77" s="20" t="n"/>
      <c r="B77" s="20" t="n"/>
      <c r="C77" s="20" t="n"/>
      <c r="D77" s="20" t="n"/>
      <c r="E77" s="20" t="n"/>
      <c r="F77" s="21" t="n"/>
      <c r="G77" s="21" t="n"/>
      <c r="H77" s="20" t="n"/>
      <c r="I77" s="22" t="n"/>
      <c r="J77" s="19">
        <f>IF(OR(F77="",G77=""),"",MAX(0,G77-F77))</f>
        <v/>
      </c>
      <c r="K77" s="23">
        <f>IF(OR(I77="",J77=""),"",I77*J77)</f>
        <v/>
      </c>
      <c r="L77" s="22" t="n"/>
      <c r="M77" s="23">
        <f>IF(K77="","",MAX(0,K77-IF(L77="",0,L77)))</f>
        <v/>
      </c>
      <c r="N77" s="20" t="n"/>
      <c r="O77" s="20" t="n"/>
      <c r="P77" s="20" t="n"/>
      <c r="Q77" s="20" t="n"/>
      <c r="R77" s="20" t="n"/>
      <c r="S77" s="19">
        <f>IF(A77="","",IF(COUNTIF('Email Log'!B:B,A77)&gt;0,"YES","NO"))</f>
        <v/>
      </c>
    </row>
    <row r="78">
      <c r="A78" s="20" t="n"/>
      <c r="B78" s="20" t="n"/>
      <c r="C78" s="20" t="n"/>
      <c r="D78" s="20" t="n"/>
      <c r="E78" s="20" t="n"/>
      <c r="F78" s="21" t="n"/>
      <c r="G78" s="21" t="n"/>
      <c r="H78" s="20" t="n"/>
      <c r="I78" s="22" t="n"/>
      <c r="J78" s="19">
        <f>IF(OR(F78="",G78=""),"",MAX(0,G78-F78))</f>
        <v/>
      </c>
      <c r="K78" s="23">
        <f>IF(OR(I78="",J78=""),"",I78*J78)</f>
        <v/>
      </c>
      <c r="L78" s="22" t="n"/>
      <c r="M78" s="23">
        <f>IF(K78="","",MAX(0,K78-IF(L78="",0,L78)))</f>
        <v/>
      </c>
      <c r="N78" s="20" t="n"/>
      <c r="O78" s="20" t="n"/>
      <c r="P78" s="20" t="n"/>
      <c r="Q78" s="20" t="n"/>
      <c r="R78" s="20" t="n"/>
      <c r="S78" s="19">
        <f>IF(A78="","",IF(COUNTIF('Email Log'!B:B,A78)&gt;0,"YES","NO"))</f>
        <v/>
      </c>
    </row>
    <row r="79">
      <c r="A79" s="20" t="n"/>
      <c r="B79" s="20" t="n"/>
      <c r="C79" s="20" t="n"/>
      <c r="D79" s="20" t="n"/>
      <c r="E79" s="20" t="n"/>
      <c r="F79" s="21" t="n"/>
      <c r="G79" s="21" t="n"/>
      <c r="H79" s="20" t="n"/>
      <c r="I79" s="22" t="n"/>
      <c r="J79" s="19">
        <f>IF(OR(F79="",G79=""),"",MAX(0,G79-F79))</f>
        <v/>
      </c>
      <c r="K79" s="23">
        <f>IF(OR(I79="",J79=""),"",I79*J79)</f>
        <v/>
      </c>
      <c r="L79" s="22" t="n"/>
      <c r="M79" s="23">
        <f>IF(K79="","",MAX(0,K79-IF(L79="",0,L79)))</f>
        <v/>
      </c>
      <c r="N79" s="20" t="n"/>
      <c r="O79" s="20" t="n"/>
      <c r="P79" s="20" t="n"/>
      <c r="Q79" s="20" t="n"/>
      <c r="R79" s="20" t="n"/>
      <c r="S79" s="19">
        <f>IF(A79="","",IF(COUNTIF('Email Log'!B:B,A79)&gt;0,"YES","NO"))</f>
        <v/>
      </c>
    </row>
    <row r="80">
      <c r="A80" s="20" t="n"/>
      <c r="B80" s="20" t="n"/>
      <c r="C80" s="20" t="n"/>
      <c r="D80" s="20" t="n"/>
      <c r="E80" s="20" t="n"/>
      <c r="F80" s="21" t="n"/>
      <c r="G80" s="21" t="n"/>
      <c r="H80" s="20" t="n"/>
      <c r="I80" s="22" t="n"/>
      <c r="J80" s="19">
        <f>IF(OR(F80="",G80=""),"",MAX(0,G80-F80))</f>
        <v/>
      </c>
      <c r="K80" s="23">
        <f>IF(OR(I80="",J80=""),"",I80*J80)</f>
        <v/>
      </c>
      <c r="L80" s="22" t="n"/>
      <c r="M80" s="23">
        <f>IF(K80="","",MAX(0,K80-IF(L80="",0,L80)))</f>
        <v/>
      </c>
      <c r="N80" s="20" t="n"/>
      <c r="O80" s="20" t="n"/>
      <c r="P80" s="20" t="n"/>
      <c r="Q80" s="20" t="n"/>
      <c r="R80" s="20" t="n"/>
      <c r="S80" s="19">
        <f>IF(A80="","",IF(COUNTIF('Email Log'!B:B,A80)&gt;0,"YES","NO"))</f>
        <v/>
      </c>
    </row>
    <row r="81">
      <c r="A81" s="20" t="n"/>
      <c r="B81" s="20" t="n"/>
      <c r="C81" s="20" t="n"/>
      <c r="D81" s="20" t="n"/>
      <c r="E81" s="20" t="n"/>
      <c r="F81" s="21" t="n"/>
      <c r="G81" s="21" t="n"/>
      <c r="H81" s="20" t="n"/>
      <c r="I81" s="22" t="n"/>
      <c r="J81" s="19">
        <f>IF(OR(F81="",G81=""),"",MAX(0,G81-F81))</f>
        <v/>
      </c>
      <c r="K81" s="23">
        <f>IF(OR(I81="",J81=""),"",I81*J81)</f>
        <v/>
      </c>
      <c r="L81" s="22" t="n"/>
      <c r="M81" s="23">
        <f>IF(K81="","",MAX(0,K81-IF(L81="",0,L81)))</f>
        <v/>
      </c>
      <c r="N81" s="20" t="n"/>
      <c r="O81" s="20" t="n"/>
      <c r="P81" s="20" t="n"/>
      <c r="Q81" s="20" t="n"/>
      <c r="R81" s="20" t="n"/>
      <c r="S81" s="19">
        <f>IF(A81="","",IF(COUNTIF('Email Log'!B:B,A81)&gt;0,"YES","NO"))</f>
        <v/>
      </c>
    </row>
    <row r="82">
      <c r="A82" s="20" t="n"/>
      <c r="B82" s="20" t="n"/>
      <c r="C82" s="20" t="n"/>
      <c r="D82" s="20" t="n"/>
      <c r="E82" s="20" t="n"/>
      <c r="F82" s="21" t="n"/>
      <c r="G82" s="21" t="n"/>
      <c r="H82" s="20" t="n"/>
      <c r="I82" s="22" t="n"/>
      <c r="J82" s="19">
        <f>IF(OR(F82="",G82=""),"",MAX(0,G82-F82))</f>
        <v/>
      </c>
      <c r="K82" s="23">
        <f>IF(OR(I82="",J82=""),"",I82*J82)</f>
        <v/>
      </c>
      <c r="L82" s="22" t="n"/>
      <c r="M82" s="23">
        <f>IF(K82="","",MAX(0,K82-IF(L82="",0,L82)))</f>
        <v/>
      </c>
      <c r="N82" s="20" t="n"/>
      <c r="O82" s="20" t="n"/>
      <c r="P82" s="20" t="n"/>
      <c r="Q82" s="20" t="n"/>
      <c r="R82" s="20" t="n"/>
      <c r="S82" s="19">
        <f>IF(A82="","",IF(COUNTIF('Email Log'!B:B,A82)&gt;0,"YES","NO"))</f>
        <v/>
      </c>
    </row>
    <row r="83">
      <c r="A83" s="20" t="n"/>
      <c r="B83" s="20" t="n"/>
      <c r="C83" s="20" t="n"/>
      <c r="D83" s="20" t="n"/>
      <c r="E83" s="20" t="n"/>
      <c r="F83" s="21" t="n"/>
      <c r="G83" s="21" t="n"/>
      <c r="H83" s="20" t="n"/>
      <c r="I83" s="22" t="n"/>
      <c r="J83" s="19">
        <f>IF(OR(F83="",G83=""),"",MAX(0,G83-F83))</f>
        <v/>
      </c>
      <c r="K83" s="23">
        <f>IF(OR(I83="",J83=""),"",I83*J83)</f>
        <v/>
      </c>
      <c r="L83" s="22" t="n"/>
      <c r="M83" s="23">
        <f>IF(K83="","",MAX(0,K83-IF(L83="",0,L83)))</f>
        <v/>
      </c>
      <c r="N83" s="20" t="n"/>
      <c r="O83" s="20" t="n"/>
      <c r="P83" s="20" t="n"/>
      <c r="Q83" s="20" t="n"/>
      <c r="R83" s="20" t="n"/>
      <c r="S83" s="19">
        <f>IF(A83="","",IF(COUNTIF('Email Log'!B:B,A83)&gt;0,"YES","NO"))</f>
        <v/>
      </c>
    </row>
    <row r="84">
      <c r="A84" s="20" t="n"/>
      <c r="B84" s="20" t="n"/>
      <c r="C84" s="20" t="n"/>
      <c r="D84" s="20" t="n"/>
      <c r="E84" s="20" t="n"/>
      <c r="F84" s="21" t="n"/>
      <c r="G84" s="21" t="n"/>
      <c r="H84" s="20" t="n"/>
      <c r="I84" s="22" t="n"/>
      <c r="J84" s="19">
        <f>IF(OR(F84="",G84=""),"",MAX(0,G84-F84))</f>
        <v/>
      </c>
      <c r="K84" s="23">
        <f>IF(OR(I84="",J84=""),"",I84*J84)</f>
        <v/>
      </c>
      <c r="L84" s="22" t="n"/>
      <c r="M84" s="23">
        <f>IF(K84="","",MAX(0,K84-IF(L84="",0,L84)))</f>
        <v/>
      </c>
      <c r="N84" s="20" t="n"/>
      <c r="O84" s="20" t="n"/>
      <c r="P84" s="20" t="n"/>
      <c r="Q84" s="20" t="n"/>
      <c r="R84" s="20" t="n"/>
      <c r="S84" s="19">
        <f>IF(A84="","",IF(COUNTIF('Email Log'!B:B,A84)&gt;0,"YES","NO"))</f>
        <v/>
      </c>
    </row>
    <row r="85">
      <c r="A85" s="20" t="n"/>
      <c r="B85" s="20" t="n"/>
      <c r="C85" s="20" t="n"/>
      <c r="D85" s="20" t="n"/>
      <c r="E85" s="20" t="n"/>
      <c r="F85" s="21" t="n"/>
      <c r="G85" s="21" t="n"/>
      <c r="H85" s="20" t="n"/>
      <c r="I85" s="22" t="n"/>
      <c r="J85" s="19">
        <f>IF(OR(F85="",G85=""),"",MAX(0,G85-F85))</f>
        <v/>
      </c>
      <c r="K85" s="23">
        <f>IF(OR(I85="",J85=""),"",I85*J85)</f>
        <v/>
      </c>
      <c r="L85" s="22" t="n"/>
      <c r="M85" s="23">
        <f>IF(K85="","",MAX(0,K85-IF(L85="",0,L85)))</f>
        <v/>
      </c>
      <c r="N85" s="20" t="n"/>
      <c r="O85" s="20" t="n"/>
      <c r="P85" s="20" t="n"/>
      <c r="Q85" s="20" t="n"/>
      <c r="R85" s="20" t="n"/>
      <c r="S85" s="19">
        <f>IF(A85="","",IF(COUNTIF('Email Log'!B:B,A85)&gt;0,"YES","NO"))</f>
        <v/>
      </c>
    </row>
    <row r="86">
      <c r="A86" s="20" t="n"/>
      <c r="B86" s="20" t="n"/>
      <c r="C86" s="20" t="n"/>
      <c r="D86" s="20" t="n"/>
      <c r="E86" s="20" t="n"/>
      <c r="F86" s="21" t="n"/>
      <c r="G86" s="21" t="n"/>
      <c r="H86" s="20" t="n"/>
      <c r="I86" s="22" t="n"/>
      <c r="J86" s="19">
        <f>IF(OR(F86="",G86=""),"",MAX(0,G86-F86))</f>
        <v/>
      </c>
      <c r="K86" s="23">
        <f>IF(OR(I86="",J86=""),"",I86*J86)</f>
        <v/>
      </c>
      <c r="L86" s="22" t="n"/>
      <c r="M86" s="23">
        <f>IF(K86="","",MAX(0,K86-IF(L86="",0,L86)))</f>
        <v/>
      </c>
      <c r="N86" s="20" t="n"/>
      <c r="O86" s="20" t="n"/>
      <c r="P86" s="20" t="n"/>
      <c r="Q86" s="20" t="n"/>
      <c r="R86" s="20" t="n"/>
      <c r="S86" s="19">
        <f>IF(A86="","",IF(COUNTIF('Email Log'!B:B,A86)&gt;0,"YES","NO"))</f>
        <v/>
      </c>
    </row>
    <row r="87">
      <c r="A87" s="20" t="n"/>
      <c r="B87" s="20" t="n"/>
      <c r="C87" s="20" t="n"/>
      <c r="D87" s="20" t="n"/>
      <c r="E87" s="20" t="n"/>
      <c r="F87" s="21" t="n"/>
      <c r="G87" s="21" t="n"/>
      <c r="H87" s="20" t="n"/>
      <c r="I87" s="22" t="n"/>
      <c r="J87" s="19">
        <f>IF(OR(F87="",G87=""),"",MAX(0,G87-F87))</f>
        <v/>
      </c>
      <c r="K87" s="23">
        <f>IF(OR(I87="",J87=""),"",I87*J87)</f>
        <v/>
      </c>
      <c r="L87" s="22" t="n"/>
      <c r="M87" s="23">
        <f>IF(K87="","",MAX(0,K87-IF(L87="",0,L87)))</f>
        <v/>
      </c>
      <c r="N87" s="20" t="n"/>
      <c r="O87" s="20" t="n"/>
      <c r="P87" s="20" t="n"/>
      <c r="Q87" s="20" t="n"/>
      <c r="R87" s="20" t="n"/>
      <c r="S87" s="19">
        <f>IF(A87="","",IF(COUNTIF('Email Log'!B:B,A87)&gt;0,"YES","NO"))</f>
        <v/>
      </c>
    </row>
    <row r="88">
      <c r="A88" s="20" t="n"/>
      <c r="B88" s="20" t="n"/>
      <c r="C88" s="20" t="n"/>
      <c r="D88" s="20" t="n"/>
      <c r="E88" s="20" t="n"/>
      <c r="F88" s="21" t="n"/>
      <c r="G88" s="21" t="n"/>
      <c r="H88" s="20" t="n"/>
      <c r="I88" s="22" t="n"/>
      <c r="J88" s="19">
        <f>IF(OR(F88="",G88=""),"",MAX(0,G88-F88))</f>
        <v/>
      </c>
      <c r="K88" s="23">
        <f>IF(OR(I88="",J88=""),"",I88*J88)</f>
        <v/>
      </c>
      <c r="L88" s="22" t="n"/>
      <c r="M88" s="23">
        <f>IF(K88="","",MAX(0,K88-IF(L88="",0,L88)))</f>
        <v/>
      </c>
      <c r="N88" s="20" t="n"/>
      <c r="O88" s="20" t="n"/>
      <c r="P88" s="20" t="n"/>
      <c r="Q88" s="20" t="n"/>
      <c r="R88" s="20" t="n"/>
      <c r="S88" s="19">
        <f>IF(A88="","",IF(COUNTIF('Email Log'!B:B,A88)&gt;0,"YES","NO"))</f>
        <v/>
      </c>
    </row>
    <row r="89">
      <c r="A89" s="20" t="n"/>
      <c r="B89" s="20" t="n"/>
      <c r="C89" s="20" t="n"/>
      <c r="D89" s="20" t="n"/>
      <c r="E89" s="20" t="n"/>
      <c r="F89" s="21" t="n"/>
      <c r="G89" s="21" t="n"/>
      <c r="H89" s="20" t="n"/>
      <c r="I89" s="22" t="n"/>
      <c r="J89" s="19">
        <f>IF(OR(F89="",G89=""),"",MAX(0,G89-F89))</f>
        <v/>
      </c>
      <c r="K89" s="23">
        <f>IF(OR(I89="",J89=""),"",I89*J89)</f>
        <v/>
      </c>
      <c r="L89" s="22" t="n"/>
      <c r="M89" s="23">
        <f>IF(K89="","",MAX(0,K89-IF(L89="",0,L89)))</f>
        <v/>
      </c>
      <c r="N89" s="20" t="n"/>
      <c r="O89" s="20" t="n"/>
      <c r="P89" s="20" t="n"/>
      <c r="Q89" s="20" t="n"/>
      <c r="R89" s="20" t="n"/>
      <c r="S89" s="19">
        <f>IF(A89="","",IF(COUNTIF('Email Log'!B:B,A89)&gt;0,"YES","NO"))</f>
        <v/>
      </c>
    </row>
    <row r="90">
      <c r="A90" s="20" t="n"/>
      <c r="B90" s="20" t="n"/>
      <c r="C90" s="20" t="n"/>
      <c r="D90" s="20" t="n"/>
      <c r="E90" s="20" t="n"/>
      <c r="F90" s="21" t="n"/>
      <c r="G90" s="21" t="n"/>
      <c r="H90" s="20" t="n"/>
      <c r="I90" s="22" t="n"/>
      <c r="J90" s="19">
        <f>IF(OR(F90="",G90=""),"",MAX(0,G90-F90))</f>
        <v/>
      </c>
      <c r="K90" s="23">
        <f>IF(OR(I90="",J90=""),"",I90*J90)</f>
        <v/>
      </c>
      <c r="L90" s="22" t="n"/>
      <c r="M90" s="23">
        <f>IF(K90="","",MAX(0,K90-IF(L90="",0,L90)))</f>
        <v/>
      </c>
      <c r="N90" s="20" t="n"/>
      <c r="O90" s="20" t="n"/>
      <c r="P90" s="20" t="n"/>
      <c r="Q90" s="20" t="n"/>
      <c r="R90" s="20" t="n"/>
      <c r="S90" s="19">
        <f>IF(A90="","",IF(COUNTIF('Email Log'!B:B,A90)&gt;0,"YES","NO"))</f>
        <v/>
      </c>
    </row>
    <row r="91">
      <c r="A91" s="20" t="n"/>
      <c r="B91" s="20" t="n"/>
      <c r="C91" s="20" t="n"/>
      <c r="D91" s="20" t="n"/>
      <c r="E91" s="20" t="n"/>
      <c r="F91" s="21" t="n"/>
      <c r="G91" s="21" t="n"/>
      <c r="H91" s="20" t="n"/>
      <c r="I91" s="22" t="n"/>
      <c r="J91" s="19">
        <f>IF(OR(F91="",G91=""),"",MAX(0,G91-F91))</f>
        <v/>
      </c>
      <c r="K91" s="23">
        <f>IF(OR(I91="",J91=""),"",I91*J91)</f>
        <v/>
      </c>
      <c r="L91" s="22" t="n"/>
      <c r="M91" s="23">
        <f>IF(K91="","",MAX(0,K91-IF(L91="",0,L91)))</f>
        <v/>
      </c>
      <c r="N91" s="20" t="n"/>
      <c r="O91" s="20" t="n"/>
      <c r="P91" s="20" t="n"/>
      <c r="Q91" s="20" t="n"/>
      <c r="R91" s="20" t="n"/>
      <c r="S91" s="19">
        <f>IF(A91="","",IF(COUNTIF('Email Log'!B:B,A91)&gt;0,"YES","NO"))</f>
        <v/>
      </c>
    </row>
    <row r="92">
      <c r="A92" s="20" t="n"/>
      <c r="B92" s="20" t="n"/>
      <c r="C92" s="20" t="n"/>
      <c r="D92" s="20" t="n"/>
      <c r="E92" s="20" t="n"/>
      <c r="F92" s="21" t="n"/>
      <c r="G92" s="21" t="n"/>
      <c r="H92" s="20" t="n"/>
      <c r="I92" s="22" t="n"/>
      <c r="J92" s="19">
        <f>IF(OR(F92="",G92=""),"",MAX(0,G92-F92))</f>
        <v/>
      </c>
      <c r="K92" s="23">
        <f>IF(OR(I92="",J92=""),"",I92*J92)</f>
        <v/>
      </c>
      <c r="L92" s="22" t="n"/>
      <c r="M92" s="23">
        <f>IF(K92="","",MAX(0,K92-IF(L92="",0,L92)))</f>
        <v/>
      </c>
      <c r="N92" s="20" t="n"/>
      <c r="O92" s="20" t="n"/>
      <c r="P92" s="20" t="n"/>
      <c r="Q92" s="20" t="n"/>
      <c r="R92" s="20" t="n"/>
      <c r="S92" s="19">
        <f>IF(A92="","",IF(COUNTIF('Email Log'!B:B,A92)&gt;0,"YES","NO"))</f>
        <v/>
      </c>
    </row>
    <row r="93">
      <c r="A93" s="20" t="n"/>
      <c r="B93" s="20" t="n"/>
      <c r="C93" s="20" t="n"/>
      <c r="D93" s="20" t="n"/>
      <c r="E93" s="20" t="n"/>
      <c r="F93" s="21" t="n"/>
      <c r="G93" s="21" t="n"/>
      <c r="H93" s="20" t="n"/>
      <c r="I93" s="22" t="n"/>
      <c r="J93" s="19">
        <f>IF(OR(F93="",G93=""),"",MAX(0,G93-F93))</f>
        <v/>
      </c>
      <c r="K93" s="23">
        <f>IF(OR(I93="",J93=""),"",I93*J93)</f>
        <v/>
      </c>
      <c r="L93" s="22" t="n"/>
      <c r="M93" s="23">
        <f>IF(K93="","",MAX(0,K93-IF(L93="",0,L93)))</f>
        <v/>
      </c>
      <c r="N93" s="20" t="n"/>
      <c r="O93" s="20" t="n"/>
      <c r="P93" s="20" t="n"/>
      <c r="Q93" s="20" t="n"/>
      <c r="R93" s="20" t="n"/>
      <c r="S93" s="19">
        <f>IF(A93="","",IF(COUNTIF('Email Log'!B:B,A93)&gt;0,"YES","NO"))</f>
        <v/>
      </c>
    </row>
    <row r="94">
      <c r="A94" s="20" t="n"/>
      <c r="B94" s="20" t="n"/>
      <c r="C94" s="20" t="n"/>
      <c r="D94" s="20" t="n"/>
      <c r="E94" s="20" t="n"/>
      <c r="F94" s="21" t="n"/>
      <c r="G94" s="21" t="n"/>
      <c r="H94" s="20" t="n"/>
      <c r="I94" s="22" t="n"/>
      <c r="J94" s="19">
        <f>IF(OR(F94="",G94=""),"",MAX(0,G94-F94))</f>
        <v/>
      </c>
      <c r="K94" s="23">
        <f>IF(OR(I94="",J94=""),"",I94*J94)</f>
        <v/>
      </c>
      <c r="L94" s="22" t="n"/>
      <c r="M94" s="23">
        <f>IF(K94="","",MAX(0,K94-IF(L94="",0,L94)))</f>
        <v/>
      </c>
      <c r="N94" s="20" t="n"/>
      <c r="O94" s="20" t="n"/>
      <c r="P94" s="20" t="n"/>
      <c r="Q94" s="20" t="n"/>
      <c r="R94" s="20" t="n"/>
      <c r="S94" s="19">
        <f>IF(A94="","",IF(COUNTIF('Email Log'!B:B,A94)&gt;0,"YES","NO"))</f>
        <v/>
      </c>
    </row>
    <row r="95">
      <c r="A95" s="20" t="n"/>
      <c r="B95" s="20" t="n"/>
      <c r="C95" s="20" t="n"/>
      <c r="D95" s="20" t="n"/>
      <c r="E95" s="20" t="n"/>
      <c r="F95" s="21" t="n"/>
      <c r="G95" s="21" t="n"/>
      <c r="H95" s="20" t="n"/>
      <c r="I95" s="22" t="n"/>
      <c r="J95" s="19">
        <f>IF(OR(F95="",G95=""),"",MAX(0,G95-F95))</f>
        <v/>
      </c>
      <c r="K95" s="23">
        <f>IF(OR(I95="",J95=""),"",I95*J95)</f>
        <v/>
      </c>
      <c r="L95" s="22" t="n"/>
      <c r="M95" s="23">
        <f>IF(K95="","",MAX(0,K95-IF(L95="",0,L95)))</f>
        <v/>
      </c>
      <c r="N95" s="20" t="n"/>
      <c r="O95" s="20" t="n"/>
      <c r="P95" s="20" t="n"/>
      <c r="Q95" s="20" t="n"/>
      <c r="R95" s="20" t="n"/>
      <c r="S95" s="19">
        <f>IF(A95="","",IF(COUNTIF('Email Log'!B:B,A95)&gt;0,"YES","NO"))</f>
        <v/>
      </c>
    </row>
    <row r="96">
      <c r="A96" s="20" t="n"/>
      <c r="B96" s="20" t="n"/>
      <c r="C96" s="20" t="n"/>
      <c r="D96" s="20" t="n"/>
      <c r="E96" s="20" t="n"/>
      <c r="F96" s="21" t="n"/>
      <c r="G96" s="21" t="n"/>
      <c r="H96" s="20" t="n"/>
      <c r="I96" s="22" t="n"/>
      <c r="J96" s="19">
        <f>IF(OR(F96="",G96=""),"",MAX(0,G96-F96))</f>
        <v/>
      </c>
      <c r="K96" s="23">
        <f>IF(OR(I96="",J96=""),"",I96*J96)</f>
        <v/>
      </c>
      <c r="L96" s="22" t="n"/>
      <c r="M96" s="23">
        <f>IF(K96="","",MAX(0,K96-IF(L96="",0,L96)))</f>
        <v/>
      </c>
      <c r="N96" s="20" t="n"/>
      <c r="O96" s="20" t="n"/>
      <c r="P96" s="20" t="n"/>
      <c r="Q96" s="20" t="n"/>
      <c r="R96" s="20" t="n"/>
      <c r="S96" s="19">
        <f>IF(A96="","",IF(COUNTIF('Email Log'!B:B,A96)&gt;0,"YES","NO"))</f>
        <v/>
      </c>
    </row>
    <row r="97">
      <c r="A97" s="20" t="n"/>
      <c r="B97" s="20" t="n"/>
      <c r="C97" s="20" t="n"/>
      <c r="D97" s="20" t="n"/>
      <c r="E97" s="20" t="n"/>
      <c r="F97" s="21" t="n"/>
      <c r="G97" s="21" t="n"/>
      <c r="H97" s="20" t="n"/>
      <c r="I97" s="22" t="n"/>
      <c r="J97" s="19">
        <f>IF(OR(F97="",G97=""),"",MAX(0,G97-F97))</f>
        <v/>
      </c>
      <c r="K97" s="23">
        <f>IF(OR(I97="",J97=""),"",I97*J97)</f>
        <v/>
      </c>
      <c r="L97" s="22" t="n"/>
      <c r="M97" s="23">
        <f>IF(K97="","",MAX(0,K97-IF(L97="",0,L97)))</f>
        <v/>
      </c>
      <c r="N97" s="20" t="n"/>
      <c r="O97" s="20" t="n"/>
      <c r="P97" s="20" t="n"/>
      <c r="Q97" s="20" t="n"/>
      <c r="R97" s="20" t="n"/>
      <c r="S97" s="19">
        <f>IF(A97="","",IF(COUNTIF('Email Log'!B:B,A97)&gt;0,"YES","NO"))</f>
        <v/>
      </c>
    </row>
    <row r="98">
      <c r="A98" s="20" t="n"/>
      <c r="B98" s="20" t="n"/>
      <c r="C98" s="20" t="n"/>
      <c r="D98" s="20" t="n"/>
      <c r="E98" s="20" t="n"/>
      <c r="F98" s="21" t="n"/>
      <c r="G98" s="21" t="n"/>
      <c r="H98" s="20" t="n"/>
      <c r="I98" s="22" t="n"/>
      <c r="J98" s="19">
        <f>IF(OR(F98="",G98=""),"",MAX(0,G98-F98))</f>
        <v/>
      </c>
      <c r="K98" s="23">
        <f>IF(OR(I98="",J98=""),"",I98*J98)</f>
        <v/>
      </c>
      <c r="L98" s="22" t="n"/>
      <c r="M98" s="23">
        <f>IF(K98="","",MAX(0,K98-IF(L98="",0,L98)))</f>
        <v/>
      </c>
      <c r="N98" s="20" t="n"/>
      <c r="O98" s="20" t="n"/>
      <c r="P98" s="20" t="n"/>
      <c r="Q98" s="20" t="n"/>
      <c r="R98" s="20" t="n"/>
      <c r="S98" s="19">
        <f>IF(A98="","",IF(COUNTIF('Email Log'!B:B,A98)&gt;0,"YES","NO"))</f>
        <v/>
      </c>
    </row>
    <row r="99">
      <c r="A99" s="20" t="n"/>
      <c r="B99" s="20" t="n"/>
      <c r="C99" s="20" t="n"/>
      <c r="D99" s="20" t="n"/>
      <c r="E99" s="20" t="n"/>
      <c r="F99" s="21" t="n"/>
      <c r="G99" s="21" t="n"/>
      <c r="H99" s="20" t="n"/>
      <c r="I99" s="22" t="n"/>
      <c r="J99" s="19">
        <f>IF(OR(F99="",G99=""),"",MAX(0,G99-F99))</f>
        <v/>
      </c>
      <c r="K99" s="23">
        <f>IF(OR(I99="",J99=""),"",I99*J99)</f>
        <v/>
      </c>
      <c r="L99" s="22" t="n"/>
      <c r="M99" s="23">
        <f>IF(K99="","",MAX(0,K99-IF(L99="",0,L99)))</f>
        <v/>
      </c>
      <c r="N99" s="20" t="n"/>
      <c r="O99" s="20" t="n"/>
      <c r="P99" s="20" t="n"/>
      <c r="Q99" s="20" t="n"/>
      <c r="R99" s="20" t="n"/>
      <c r="S99" s="19">
        <f>IF(A99="","",IF(COUNTIF('Email Log'!B:B,A99)&gt;0,"YES","NO"))</f>
        <v/>
      </c>
    </row>
    <row r="100">
      <c r="A100" s="20" t="n"/>
      <c r="B100" s="20" t="n"/>
      <c r="C100" s="20" t="n"/>
      <c r="D100" s="20" t="n"/>
      <c r="E100" s="20" t="n"/>
      <c r="F100" s="21" t="n"/>
      <c r="G100" s="21" t="n"/>
      <c r="H100" s="20" t="n"/>
      <c r="I100" s="22" t="n"/>
      <c r="J100" s="19">
        <f>IF(OR(F100="",G100=""),"",MAX(0,G100-F100))</f>
        <v/>
      </c>
      <c r="K100" s="23">
        <f>IF(OR(I100="",J100=""),"",I100*J100)</f>
        <v/>
      </c>
      <c r="L100" s="22" t="n"/>
      <c r="M100" s="23">
        <f>IF(K100="","",MAX(0,K100-IF(L100="",0,L100)))</f>
        <v/>
      </c>
      <c r="N100" s="20" t="n"/>
      <c r="O100" s="20" t="n"/>
      <c r="P100" s="20" t="n"/>
      <c r="Q100" s="20" t="n"/>
      <c r="R100" s="20" t="n"/>
      <c r="S100" s="19">
        <f>IF(A100="","",IF(COUNTIF('Email Log'!B:B,A100)&gt;0,"YES","NO"))</f>
        <v/>
      </c>
    </row>
    <row r="101">
      <c r="A101" s="20" t="n"/>
      <c r="B101" s="20" t="n"/>
      <c r="C101" s="20" t="n"/>
      <c r="D101" s="20" t="n"/>
      <c r="E101" s="20" t="n"/>
      <c r="F101" s="21" t="n"/>
      <c r="G101" s="21" t="n"/>
      <c r="H101" s="20" t="n"/>
      <c r="I101" s="22" t="n"/>
      <c r="J101" s="19">
        <f>IF(OR(F101="",G101=""),"",MAX(0,G101-F101))</f>
        <v/>
      </c>
      <c r="K101" s="23">
        <f>IF(OR(I101="",J101=""),"",I101*J101)</f>
        <v/>
      </c>
      <c r="L101" s="22" t="n"/>
      <c r="M101" s="23">
        <f>IF(K101="","",MAX(0,K101-IF(L101="",0,L101)))</f>
        <v/>
      </c>
      <c r="N101" s="20" t="n"/>
      <c r="O101" s="20" t="n"/>
      <c r="P101" s="20" t="n"/>
      <c r="Q101" s="20" t="n"/>
      <c r="R101" s="20" t="n"/>
      <c r="S101" s="19">
        <f>IF(A101="","",IF(COUNTIF('Email Log'!B:B,A101)&gt;0,"YES","NO"))</f>
        <v/>
      </c>
    </row>
    <row r="102">
      <c r="A102" s="20" t="n"/>
      <c r="B102" s="20" t="n"/>
      <c r="C102" s="20" t="n"/>
      <c r="D102" s="20" t="n"/>
      <c r="E102" s="20" t="n"/>
      <c r="F102" s="21" t="n"/>
      <c r="G102" s="21" t="n"/>
      <c r="H102" s="20" t="n"/>
      <c r="I102" s="22" t="n"/>
      <c r="J102" s="19">
        <f>IF(OR(F102="",G102=""),"",MAX(0,G102-F102))</f>
        <v/>
      </c>
      <c r="K102" s="23">
        <f>IF(OR(I102="",J102=""),"",I102*J102)</f>
        <v/>
      </c>
      <c r="L102" s="22" t="n"/>
      <c r="M102" s="23">
        <f>IF(K102="","",MAX(0,K102-IF(L102="",0,L102)))</f>
        <v/>
      </c>
      <c r="N102" s="20" t="n"/>
      <c r="O102" s="20" t="n"/>
      <c r="P102" s="20" t="n"/>
      <c r="Q102" s="20" t="n"/>
      <c r="R102" s="20" t="n"/>
      <c r="S102" s="19">
        <f>IF(A102="","",IF(COUNTIF('Email Log'!B:B,A102)&gt;0,"YES","NO"))</f>
        <v/>
      </c>
    </row>
    <row r="103">
      <c r="A103" s="20" t="n"/>
      <c r="B103" s="20" t="n"/>
      <c r="C103" s="20" t="n"/>
      <c r="D103" s="20" t="n"/>
      <c r="E103" s="20" t="n"/>
      <c r="F103" s="21" t="n"/>
      <c r="G103" s="21" t="n"/>
      <c r="H103" s="20" t="n"/>
      <c r="I103" s="22" t="n"/>
      <c r="J103" s="19">
        <f>IF(OR(F103="",G103=""),"",MAX(0,G103-F103))</f>
        <v/>
      </c>
      <c r="K103" s="23">
        <f>IF(OR(I103="",J103=""),"",I103*J103)</f>
        <v/>
      </c>
      <c r="L103" s="22" t="n"/>
      <c r="M103" s="23">
        <f>IF(K103="","",MAX(0,K103-IF(L103="",0,L103)))</f>
        <v/>
      </c>
      <c r="N103" s="20" t="n"/>
      <c r="O103" s="20" t="n"/>
      <c r="P103" s="20" t="n"/>
      <c r="Q103" s="20" t="n"/>
      <c r="R103" s="20" t="n"/>
      <c r="S103" s="19">
        <f>IF(A103="","",IF(COUNTIF('Email Log'!B:B,A103)&gt;0,"YES","NO"))</f>
        <v/>
      </c>
    </row>
    <row r="104">
      <c r="A104" s="20" t="n"/>
      <c r="B104" s="20" t="n"/>
      <c r="C104" s="20" t="n"/>
      <c r="D104" s="20" t="n"/>
      <c r="E104" s="20" t="n"/>
      <c r="F104" s="21" t="n"/>
      <c r="G104" s="21" t="n"/>
      <c r="H104" s="20" t="n"/>
      <c r="I104" s="22" t="n"/>
      <c r="J104" s="19">
        <f>IF(OR(F104="",G104=""),"",MAX(0,G104-F104))</f>
        <v/>
      </c>
      <c r="K104" s="23">
        <f>IF(OR(I104="",J104=""),"",I104*J104)</f>
        <v/>
      </c>
      <c r="L104" s="22" t="n"/>
      <c r="M104" s="23">
        <f>IF(K104="","",MAX(0,K104-IF(L104="",0,L104)))</f>
        <v/>
      </c>
      <c r="N104" s="20" t="n"/>
      <c r="O104" s="20" t="n"/>
      <c r="P104" s="20" t="n"/>
      <c r="Q104" s="20" t="n"/>
      <c r="R104" s="20" t="n"/>
      <c r="S104" s="19">
        <f>IF(A104="","",IF(COUNTIF('Email Log'!B:B,A104)&gt;0,"YES","NO"))</f>
        <v/>
      </c>
    </row>
    <row r="105">
      <c r="A105" s="20" t="n"/>
      <c r="B105" s="20" t="n"/>
      <c r="C105" s="20" t="n"/>
      <c r="D105" s="20" t="n"/>
      <c r="E105" s="20" t="n"/>
      <c r="F105" s="21" t="n"/>
      <c r="G105" s="21" t="n"/>
      <c r="H105" s="20" t="n"/>
      <c r="I105" s="22" t="n"/>
      <c r="J105" s="19">
        <f>IF(OR(F105="",G105=""),"",MAX(0,G105-F105))</f>
        <v/>
      </c>
      <c r="K105" s="23">
        <f>IF(OR(I105="",J105=""),"",I105*J105)</f>
        <v/>
      </c>
      <c r="L105" s="22" t="n"/>
      <c r="M105" s="23">
        <f>IF(K105="","",MAX(0,K105-IF(L105="",0,L105)))</f>
        <v/>
      </c>
      <c r="N105" s="20" t="n"/>
      <c r="O105" s="20" t="n"/>
      <c r="P105" s="20" t="n"/>
      <c r="Q105" s="20" t="n"/>
      <c r="R105" s="20" t="n"/>
      <c r="S105" s="19">
        <f>IF(A105="","",IF(COUNTIF('Email Log'!B:B,A105)&gt;0,"YES","NO"))</f>
        <v/>
      </c>
    </row>
    <row r="106">
      <c r="A106" s="20" t="n"/>
      <c r="B106" s="20" t="n"/>
      <c r="C106" s="20" t="n"/>
      <c r="D106" s="20" t="n"/>
      <c r="E106" s="20" t="n"/>
      <c r="F106" s="21" t="n"/>
      <c r="G106" s="21" t="n"/>
      <c r="H106" s="20" t="n"/>
      <c r="I106" s="22" t="n"/>
      <c r="J106" s="19">
        <f>IF(OR(F106="",G106=""),"",MAX(0,G106-F106))</f>
        <v/>
      </c>
      <c r="K106" s="23">
        <f>IF(OR(I106="",J106=""),"",I106*J106)</f>
        <v/>
      </c>
      <c r="L106" s="22" t="n"/>
      <c r="M106" s="23">
        <f>IF(K106="","",MAX(0,K106-IF(L106="",0,L106)))</f>
        <v/>
      </c>
      <c r="N106" s="20" t="n"/>
      <c r="O106" s="20" t="n"/>
      <c r="P106" s="20" t="n"/>
      <c r="Q106" s="20" t="n"/>
      <c r="R106" s="20" t="n"/>
      <c r="S106" s="19">
        <f>IF(A106="","",IF(COUNTIF('Email Log'!B:B,A106)&gt;0,"YES","NO"))</f>
        <v/>
      </c>
    </row>
    <row r="107">
      <c r="A107" s="20" t="n"/>
      <c r="B107" s="20" t="n"/>
      <c r="C107" s="20" t="n"/>
      <c r="D107" s="20" t="n"/>
      <c r="E107" s="20" t="n"/>
      <c r="F107" s="21" t="n"/>
      <c r="G107" s="21" t="n"/>
      <c r="H107" s="20" t="n"/>
      <c r="I107" s="22" t="n"/>
      <c r="J107" s="19">
        <f>IF(OR(F107="",G107=""),"",MAX(0,G107-F107))</f>
        <v/>
      </c>
      <c r="K107" s="23">
        <f>IF(OR(I107="",J107=""),"",I107*J107)</f>
        <v/>
      </c>
      <c r="L107" s="22" t="n"/>
      <c r="M107" s="23">
        <f>IF(K107="","",MAX(0,K107-IF(L107="",0,L107)))</f>
        <v/>
      </c>
      <c r="N107" s="20" t="n"/>
      <c r="O107" s="20" t="n"/>
      <c r="P107" s="20" t="n"/>
      <c r="Q107" s="20" t="n"/>
      <c r="R107" s="20" t="n"/>
      <c r="S107" s="19">
        <f>IF(A107="","",IF(COUNTIF('Email Log'!B:B,A107)&gt;0,"YES","NO"))</f>
        <v/>
      </c>
    </row>
    <row r="108">
      <c r="A108" s="20" t="n"/>
      <c r="B108" s="20" t="n"/>
      <c r="C108" s="20" t="n"/>
      <c r="D108" s="20" t="n"/>
      <c r="E108" s="20" t="n"/>
      <c r="F108" s="21" t="n"/>
      <c r="G108" s="21" t="n"/>
      <c r="H108" s="20" t="n"/>
      <c r="I108" s="22" t="n"/>
      <c r="J108" s="19">
        <f>IF(OR(F108="",G108=""),"",MAX(0,G108-F108))</f>
        <v/>
      </c>
      <c r="K108" s="23">
        <f>IF(OR(I108="",J108=""),"",I108*J108)</f>
        <v/>
      </c>
      <c r="L108" s="22" t="n"/>
      <c r="M108" s="23">
        <f>IF(K108="","",MAX(0,K108-IF(L108="",0,L108)))</f>
        <v/>
      </c>
      <c r="N108" s="20" t="n"/>
      <c r="O108" s="20" t="n"/>
      <c r="P108" s="20" t="n"/>
      <c r="Q108" s="20" t="n"/>
      <c r="R108" s="20" t="n"/>
      <c r="S108" s="19">
        <f>IF(A108="","",IF(COUNTIF('Email Log'!B:B,A108)&gt;0,"YES","NO"))</f>
        <v/>
      </c>
    </row>
    <row r="109">
      <c r="A109" s="20" t="n"/>
      <c r="B109" s="20" t="n"/>
      <c r="C109" s="20" t="n"/>
      <c r="D109" s="20" t="n"/>
      <c r="E109" s="20" t="n"/>
      <c r="F109" s="21" t="n"/>
      <c r="G109" s="21" t="n"/>
      <c r="H109" s="20" t="n"/>
      <c r="I109" s="22" t="n"/>
      <c r="J109" s="19">
        <f>IF(OR(F109="",G109=""),"",MAX(0,G109-F109))</f>
        <v/>
      </c>
      <c r="K109" s="23">
        <f>IF(OR(I109="",J109=""),"",I109*J109)</f>
        <v/>
      </c>
      <c r="L109" s="22" t="n"/>
      <c r="M109" s="23">
        <f>IF(K109="","",MAX(0,K109-IF(L109="",0,L109)))</f>
        <v/>
      </c>
      <c r="N109" s="20" t="n"/>
      <c r="O109" s="20" t="n"/>
      <c r="P109" s="20" t="n"/>
      <c r="Q109" s="20" t="n"/>
      <c r="R109" s="20" t="n"/>
      <c r="S109" s="19">
        <f>IF(A109="","",IF(COUNTIF('Email Log'!B:B,A109)&gt;0,"YES","NO"))</f>
        <v/>
      </c>
    </row>
    <row r="110">
      <c r="A110" s="20" t="n"/>
      <c r="B110" s="20" t="n"/>
      <c r="C110" s="20" t="n"/>
      <c r="D110" s="20" t="n"/>
      <c r="E110" s="20" t="n"/>
      <c r="F110" s="21" t="n"/>
      <c r="G110" s="21" t="n"/>
      <c r="H110" s="20" t="n"/>
      <c r="I110" s="22" t="n"/>
      <c r="J110" s="19">
        <f>IF(OR(F110="",G110=""),"",MAX(0,G110-F110))</f>
        <v/>
      </c>
      <c r="K110" s="23">
        <f>IF(OR(I110="",J110=""),"",I110*J110)</f>
        <v/>
      </c>
      <c r="L110" s="22" t="n"/>
      <c r="M110" s="23">
        <f>IF(K110="","",MAX(0,K110-IF(L110="",0,L110)))</f>
        <v/>
      </c>
      <c r="N110" s="20" t="n"/>
      <c r="O110" s="20" t="n"/>
      <c r="P110" s="20" t="n"/>
      <c r="Q110" s="20" t="n"/>
      <c r="R110" s="20" t="n"/>
      <c r="S110" s="19">
        <f>IF(A110="","",IF(COUNTIF('Email Log'!B:B,A110)&gt;0,"YES","NO"))</f>
        <v/>
      </c>
    </row>
    <row r="111">
      <c r="A111" s="20" t="n"/>
      <c r="B111" s="20" t="n"/>
      <c r="C111" s="20" t="n"/>
      <c r="D111" s="20" t="n"/>
      <c r="E111" s="20" t="n"/>
      <c r="F111" s="21" t="n"/>
      <c r="G111" s="21" t="n"/>
      <c r="H111" s="20" t="n"/>
      <c r="I111" s="22" t="n"/>
      <c r="J111" s="19">
        <f>IF(OR(F111="",G111=""),"",MAX(0,G111-F111))</f>
        <v/>
      </c>
      <c r="K111" s="23">
        <f>IF(OR(I111="",J111=""),"",I111*J111)</f>
        <v/>
      </c>
      <c r="L111" s="22" t="n"/>
      <c r="M111" s="23">
        <f>IF(K111="","",MAX(0,K111-IF(L111="",0,L111)))</f>
        <v/>
      </c>
      <c r="N111" s="20" t="n"/>
      <c r="O111" s="20" t="n"/>
      <c r="P111" s="20" t="n"/>
      <c r="Q111" s="20" t="n"/>
      <c r="R111" s="20" t="n"/>
      <c r="S111" s="19">
        <f>IF(A111="","",IF(COUNTIF('Email Log'!B:B,A111)&gt;0,"YES","NO"))</f>
        <v/>
      </c>
    </row>
    <row r="112">
      <c r="A112" s="20" t="n"/>
      <c r="B112" s="20" t="n"/>
      <c r="C112" s="20" t="n"/>
      <c r="D112" s="20" t="n"/>
      <c r="E112" s="20" t="n"/>
      <c r="F112" s="21" t="n"/>
      <c r="G112" s="21" t="n"/>
      <c r="H112" s="20" t="n"/>
      <c r="I112" s="22" t="n"/>
      <c r="J112" s="19">
        <f>IF(OR(F112="",G112=""),"",MAX(0,G112-F112))</f>
        <v/>
      </c>
      <c r="K112" s="23">
        <f>IF(OR(I112="",J112=""),"",I112*J112)</f>
        <v/>
      </c>
      <c r="L112" s="22" t="n"/>
      <c r="M112" s="23">
        <f>IF(K112="","",MAX(0,K112-IF(L112="",0,L112)))</f>
        <v/>
      </c>
      <c r="N112" s="20" t="n"/>
      <c r="O112" s="20" t="n"/>
      <c r="P112" s="20" t="n"/>
      <c r="Q112" s="20" t="n"/>
      <c r="R112" s="20" t="n"/>
      <c r="S112" s="19">
        <f>IF(A112="","",IF(COUNTIF('Email Log'!B:B,A112)&gt;0,"YES","NO"))</f>
        <v/>
      </c>
    </row>
    <row r="113">
      <c r="A113" s="20" t="n"/>
      <c r="B113" s="20" t="n"/>
      <c r="C113" s="20" t="n"/>
      <c r="D113" s="20" t="n"/>
      <c r="E113" s="20" t="n"/>
      <c r="F113" s="21" t="n"/>
      <c r="G113" s="21" t="n"/>
      <c r="H113" s="20" t="n"/>
      <c r="I113" s="22" t="n"/>
      <c r="J113" s="19">
        <f>IF(OR(F113="",G113=""),"",MAX(0,G113-F113))</f>
        <v/>
      </c>
      <c r="K113" s="23">
        <f>IF(OR(I113="",J113=""),"",I113*J113)</f>
        <v/>
      </c>
      <c r="L113" s="22" t="n"/>
      <c r="M113" s="23">
        <f>IF(K113="","",MAX(0,K113-IF(L113="",0,L113)))</f>
        <v/>
      </c>
      <c r="N113" s="20" t="n"/>
      <c r="O113" s="20" t="n"/>
      <c r="P113" s="20" t="n"/>
      <c r="Q113" s="20" t="n"/>
      <c r="R113" s="20" t="n"/>
      <c r="S113" s="19">
        <f>IF(A113="","",IF(COUNTIF('Email Log'!B:B,A113)&gt;0,"YES","NO"))</f>
        <v/>
      </c>
    </row>
    <row r="114">
      <c r="A114" s="20" t="n"/>
      <c r="B114" s="20" t="n"/>
      <c r="C114" s="20" t="n"/>
      <c r="D114" s="20" t="n"/>
      <c r="E114" s="20" t="n"/>
      <c r="F114" s="21" t="n"/>
      <c r="G114" s="21" t="n"/>
      <c r="H114" s="20" t="n"/>
      <c r="I114" s="22" t="n"/>
      <c r="J114" s="19">
        <f>IF(OR(F114="",G114=""),"",MAX(0,G114-F114))</f>
        <v/>
      </c>
      <c r="K114" s="23">
        <f>IF(OR(I114="",J114=""),"",I114*J114)</f>
        <v/>
      </c>
      <c r="L114" s="22" t="n"/>
      <c r="M114" s="23">
        <f>IF(K114="","",MAX(0,K114-IF(L114="",0,L114)))</f>
        <v/>
      </c>
      <c r="N114" s="20" t="n"/>
      <c r="O114" s="20" t="n"/>
      <c r="P114" s="20" t="n"/>
      <c r="Q114" s="20" t="n"/>
      <c r="R114" s="20" t="n"/>
      <c r="S114" s="19">
        <f>IF(A114="","",IF(COUNTIF('Email Log'!B:B,A114)&gt;0,"YES","NO"))</f>
        <v/>
      </c>
    </row>
    <row r="115">
      <c r="A115" s="20" t="n"/>
      <c r="B115" s="20" t="n"/>
      <c r="C115" s="20" t="n"/>
      <c r="D115" s="20" t="n"/>
      <c r="E115" s="20" t="n"/>
      <c r="F115" s="21" t="n"/>
      <c r="G115" s="21" t="n"/>
      <c r="H115" s="20" t="n"/>
      <c r="I115" s="22" t="n"/>
      <c r="J115" s="19">
        <f>IF(OR(F115="",G115=""),"",MAX(0,G115-F115))</f>
        <v/>
      </c>
      <c r="K115" s="23">
        <f>IF(OR(I115="",J115=""),"",I115*J115)</f>
        <v/>
      </c>
      <c r="L115" s="22" t="n"/>
      <c r="M115" s="23">
        <f>IF(K115="","",MAX(0,K115-IF(L115="",0,L115)))</f>
        <v/>
      </c>
      <c r="N115" s="20" t="n"/>
      <c r="O115" s="20" t="n"/>
      <c r="P115" s="20" t="n"/>
      <c r="Q115" s="20" t="n"/>
      <c r="R115" s="20" t="n"/>
      <c r="S115" s="19">
        <f>IF(A115="","",IF(COUNTIF('Email Log'!B:B,A115)&gt;0,"YES","NO"))</f>
        <v/>
      </c>
    </row>
    <row r="116">
      <c r="A116" s="20" t="n"/>
      <c r="B116" s="20" t="n"/>
      <c r="C116" s="20" t="n"/>
      <c r="D116" s="20" t="n"/>
      <c r="E116" s="20" t="n"/>
      <c r="F116" s="21" t="n"/>
      <c r="G116" s="21" t="n"/>
      <c r="H116" s="20" t="n"/>
      <c r="I116" s="22" t="n"/>
      <c r="J116" s="19">
        <f>IF(OR(F116="",G116=""),"",MAX(0,G116-F116))</f>
        <v/>
      </c>
      <c r="K116" s="23">
        <f>IF(OR(I116="",J116=""),"",I116*J116)</f>
        <v/>
      </c>
      <c r="L116" s="22" t="n"/>
      <c r="M116" s="23">
        <f>IF(K116="","",MAX(0,K116-IF(L116="",0,L116)))</f>
        <v/>
      </c>
      <c r="N116" s="20" t="n"/>
      <c r="O116" s="20" t="n"/>
      <c r="P116" s="20" t="n"/>
      <c r="Q116" s="20" t="n"/>
      <c r="R116" s="20" t="n"/>
      <c r="S116" s="19">
        <f>IF(A116="","",IF(COUNTIF('Email Log'!B:B,A116)&gt;0,"YES","NO"))</f>
        <v/>
      </c>
    </row>
    <row r="117">
      <c r="A117" s="20" t="n"/>
      <c r="B117" s="20" t="n"/>
      <c r="C117" s="20" t="n"/>
      <c r="D117" s="20" t="n"/>
      <c r="E117" s="20" t="n"/>
      <c r="F117" s="21" t="n"/>
      <c r="G117" s="21" t="n"/>
      <c r="H117" s="20" t="n"/>
      <c r="I117" s="22" t="n"/>
      <c r="J117" s="19">
        <f>IF(OR(F117="",G117=""),"",MAX(0,G117-F117))</f>
        <v/>
      </c>
      <c r="K117" s="23">
        <f>IF(OR(I117="",J117=""),"",I117*J117)</f>
        <v/>
      </c>
      <c r="L117" s="22" t="n"/>
      <c r="M117" s="23">
        <f>IF(K117="","",MAX(0,K117-IF(L117="",0,L117)))</f>
        <v/>
      </c>
      <c r="N117" s="20" t="n"/>
      <c r="O117" s="20" t="n"/>
      <c r="P117" s="20" t="n"/>
      <c r="Q117" s="20" t="n"/>
      <c r="R117" s="20" t="n"/>
      <c r="S117" s="19">
        <f>IF(A117="","",IF(COUNTIF('Email Log'!B:B,A117)&gt;0,"YES","NO"))</f>
        <v/>
      </c>
    </row>
    <row r="118">
      <c r="A118" s="20" t="n"/>
      <c r="B118" s="20" t="n"/>
      <c r="C118" s="20" t="n"/>
      <c r="D118" s="20" t="n"/>
      <c r="E118" s="20" t="n"/>
      <c r="F118" s="21" t="n"/>
      <c r="G118" s="21" t="n"/>
      <c r="H118" s="20" t="n"/>
      <c r="I118" s="22" t="n"/>
      <c r="J118" s="19">
        <f>IF(OR(F118="",G118=""),"",MAX(0,G118-F118))</f>
        <v/>
      </c>
      <c r="K118" s="23">
        <f>IF(OR(I118="",J118=""),"",I118*J118)</f>
        <v/>
      </c>
      <c r="L118" s="22" t="n"/>
      <c r="M118" s="23">
        <f>IF(K118="","",MAX(0,K118-IF(L118="",0,L118)))</f>
        <v/>
      </c>
      <c r="N118" s="20" t="n"/>
      <c r="O118" s="20" t="n"/>
      <c r="P118" s="20" t="n"/>
      <c r="Q118" s="20" t="n"/>
      <c r="R118" s="20" t="n"/>
      <c r="S118" s="19">
        <f>IF(A118="","",IF(COUNTIF('Email Log'!B:B,A118)&gt;0,"YES","NO"))</f>
        <v/>
      </c>
    </row>
    <row r="119">
      <c r="A119" s="20" t="n"/>
      <c r="B119" s="20" t="n"/>
      <c r="C119" s="20" t="n"/>
      <c r="D119" s="20" t="n"/>
      <c r="E119" s="20" t="n"/>
      <c r="F119" s="21" t="n"/>
      <c r="G119" s="21" t="n"/>
      <c r="H119" s="20" t="n"/>
      <c r="I119" s="22" t="n"/>
      <c r="J119" s="19">
        <f>IF(OR(F119="",G119=""),"",MAX(0,G119-F119))</f>
        <v/>
      </c>
      <c r="K119" s="23">
        <f>IF(OR(I119="",J119=""),"",I119*J119)</f>
        <v/>
      </c>
      <c r="L119" s="22" t="n"/>
      <c r="M119" s="23">
        <f>IF(K119="","",MAX(0,K119-IF(L119="",0,L119)))</f>
        <v/>
      </c>
      <c r="N119" s="20" t="n"/>
      <c r="O119" s="20" t="n"/>
      <c r="P119" s="20" t="n"/>
      <c r="Q119" s="20" t="n"/>
      <c r="R119" s="20" t="n"/>
      <c r="S119" s="19">
        <f>IF(A119="","",IF(COUNTIF('Email Log'!B:B,A119)&gt;0,"YES","NO"))</f>
        <v/>
      </c>
    </row>
    <row r="120">
      <c r="A120" s="20" t="n"/>
      <c r="B120" s="20" t="n"/>
      <c r="C120" s="20" t="n"/>
      <c r="D120" s="20" t="n"/>
      <c r="E120" s="20" t="n"/>
      <c r="F120" s="21" t="n"/>
      <c r="G120" s="21" t="n"/>
      <c r="H120" s="20" t="n"/>
      <c r="I120" s="22" t="n"/>
      <c r="J120" s="19">
        <f>IF(OR(F120="",G120=""),"",MAX(0,G120-F120))</f>
        <v/>
      </c>
      <c r="K120" s="23">
        <f>IF(OR(I120="",J120=""),"",I120*J120)</f>
        <v/>
      </c>
      <c r="L120" s="22" t="n"/>
      <c r="M120" s="23">
        <f>IF(K120="","",MAX(0,K120-IF(L120="",0,L120)))</f>
        <v/>
      </c>
      <c r="N120" s="20" t="n"/>
      <c r="O120" s="20" t="n"/>
      <c r="P120" s="20" t="n"/>
      <c r="Q120" s="20" t="n"/>
      <c r="R120" s="20" t="n"/>
      <c r="S120" s="19">
        <f>IF(A120="","",IF(COUNTIF('Email Log'!B:B,A120)&gt;0,"YES","NO"))</f>
        <v/>
      </c>
    </row>
    <row r="121">
      <c r="A121" s="20" t="n"/>
      <c r="B121" s="20" t="n"/>
      <c r="C121" s="20" t="n"/>
      <c r="D121" s="20" t="n"/>
      <c r="E121" s="20" t="n"/>
      <c r="F121" s="21" t="n"/>
      <c r="G121" s="21" t="n"/>
      <c r="H121" s="20" t="n"/>
      <c r="I121" s="22" t="n"/>
      <c r="J121" s="19">
        <f>IF(OR(F121="",G121=""),"",MAX(0,G121-F121))</f>
        <v/>
      </c>
      <c r="K121" s="23">
        <f>IF(OR(I121="",J121=""),"",I121*J121)</f>
        <v/>
      </c>
      <c r="L121" s="22" t="n"/>
      <c r="M121" s="23">
        <f>IF(K121="","",MAX(0,K121-IF(L121="",0,L121)))</f>
        <v/>
      </c>
      <c r="N121" s="20" t="n"/>
      <c r="O121" s="20" t="n"/>
      <c r="P121" s="20" t="n"/>
      <c r="Q121" s="20" t="n"/>
      <c r="R121" s="20" t="n"/>
      <c r="S121" s="19">
        <f>IF(A121="","",IF(COUNTIF('Email Log'!B:B,A121)&gt;0,"YES","NO"))</f>
        <v/>
      </c>
    </row>
    <row r="122">
      <c r="A122" s="20" t="n"/>
      <c r="B122" s="20" t="n"/>
      <c r="C122" s="20" t="n"/>
      <c r="D122" s="20" t="n"/>
      <c r="E122" s="20" t="n"/>
      <c r="F122" s="21" t="n"/>
      <c r="G122" s="21" t="n"/>
      <c r="H122" s="20" t="n"/>
      <c r="I122" s="22" t="n"/>
      <c r="J122" s="19">
        <f>IF(OR(F122="",G122=""),"",MAX(0,G122-F122))</f>
        <v/>
      </c>
      <c r="K122" s="23">
        <f>IF(OR(I122="",J122=""),"",I122*J122)</f>
        <v/>
      </c>
      <c r="L122" s="22" t="n"/>
      <c r="M122" s="23">
        <f>IF(K122="","",MAX(0,K122-IF(L122="",0,L122)))</f>
        <v/>
      </c>
      <c r="N122" s="20" t="n"/>
      <c r="O122" s="20" t="n"/>
      <c r="P122" s="20" t="n"/>
      <c r="Q122" s="20" t="n"/>
      <c r="R122" s="20" t="n"/>
      <c r="S122" s="19">
        <f>IF(A122="","",IF(COUNTIF('Email Log'!B:B,A122)&gt;0,"YES","NO"))</f>
        <v/>
      </c>
    </row>
    <row r="123">
      <c r="A123" s="20" t="n"/>
      <c r="B123" s="20" t="n"/>
      <c r="C123" s="20" t="n"/>
      <c r="D123" s="20" t="n"/>
      <c r="E123" s="20" t="n"/>
      <c r="F123" s="21" t="n"/>
      <c r="G123" s="21" t="n"/>
      <c r="H123" s="20" t="n"/>
      <c r="I123" s="22" t="n"/>
      <c r="J123" s="19">
        <f>IF(OR(F123="",G123=""),"",MAX(0,G123-F123))</f>
        <v/>
      </c>
      <c r="K123" s="23">
        <f>IF(OR(I123="",J123=""),"",I123*J123)</f>
        <v/>
      </c>
      <c r="L123" s="22" t="n"/>
      <c r="M123" s="23">
        <f>IF(K123="","",MAX(0,K123-IF(L123="",0,L123)))</f>
        <v/>
      </c>
      <c r="N123" s="20" t="n"/>
      <c r="O123" s="20" t="n"/>
      <c r="P123" s="20" t="n"/>
      <c r="Q123" s="20" t="n"/>
      <c r="R123" s="20" t="n"/>
      <c r="S123" s="19">
        <f>IF(A123="","",IF(COUNTIF('Email Log'!B:B,A123)&gt;0,"YES","NO"))</f>
        <v/>
      </c>
    </row>
    <row r="124">
      <c r="A124" s="20" t="n"/>
      <c r="B124" s="20" t="n"/>
      <c r="C124" s="20" t="n"/>
      <c r="D124" s="20" t="n"/>
      <c r="E124" s="20" t="n"/>
      <c r="F124" s="21" t="n"/>
      <c r="G124" s="21" t="n"/>
      <c r="H124" s="20" t="n"/>
      <c r="I124" s="22" t="n"/>
      <c r="J124" s="19">
        <f>IF(OR(F124="",G124=""),"",MAX(0,G124-F124))</f>
        <v/>
      </c>
      <c r="K124" s="23">
        <f>IF(OR(I124="",J124=""),"",I124*J124)</f>
        <v/>
      </c>
      <c r="L124" s="22" t="n"/>
      <c r="M124" s="23">
        <f>IF(K124="","",MAX(0,K124-IF(L124="",0,L124)))</f>
        <v/>
      </c>
      <c r="N124" s="20" t="n"/>
      <c r="O124" s="20" t="n"/>
      <c r="P124" s="20" t="n"/>
      <c r="Q124" s="20" t="n"/>
      <c r="R124" s="20" t="n"/>
      <c r="S124" s="19">
        <f>IF(A124="","",IF(COUNTIF('Email Log'!B:B,A124)&gt;0,"YES","NO"))</f>
        <v/>
      </c>
    </row>
    <row r="125">
      <c r="A125" s="20" t="n"/>
      <c r="B125" s="20" t="n"/>
      <c r="C125" s="20" t="n"/>
      <c r="D125" s="20" t="n"/>
      <c r="E125" s="20" t="n"/>
      <c r="F125" s="21" t="n"/>
      <c r="G125" s="21" t="n"/>
      <c r="H125" s="20" t="n"/>
      <c r="I125" s="22" t="n"/>
      <c r="J125" s="19">
        <f>IF(OR(F125="",G125=""),"",MAX(0,G125-F125))</f>
        <v/>
      </c>
      <c r="K125" s="23">
        <f>IF(OR(I125="",J125=""),"",I125*J125)</f>
        <v/>
      </c>
      <c r="L125" s="22" t="n"/>
      <c r="M125" s="23">
        <f>IF(K125="","",MAX(0,K125-IF(L125="",0,L125)))</f>
        <v/>
      </c>
      <c r="N125" s="20" t="n"/>
      <c r="O125" s="20" t="n"/>
      <c r="P125" s="20" t="n"/>
      <c r="Q125" s="20" t="n"/>
      <c r="R125" s="20" t="n"/>
      <c r="S125" s="19">
        <f>IF(A125="","",IF(COUNTIF('Email Log'!B:B,A125)&gt;0,"YES","NO"))</f>
        <v/>
      </c>
    </row>
    <row r="126">
      <c r="A126" s="20" t="n"/>
      <c r="B126" s="20" t="n"/>
      <c r="C126" s="20" t="n"/>
      <c r="D126" s="20" t="n"/>
      <c r="E126" s="20" t="n"/>
      <c r="F126" s="21" t="n"/>
      <c r="G126" s="21" t="n"/>
      <c r="H126" s="20" t="n"/>
      <c r="I126" s="22" t="n"/>
      <c r="J126" s="19">
        <f>IF(OR(F126="",G126=""),"",MAX(0,G126-F126))</f>
        <v/>
      </c>
      <c r="K126" s="23">
        <f>IF(OR(I126="",J126=""),"",I126*J126)</f>
        <v/>
      </c>
      <c r="L126" s="22" t="n"/>
      <c r="M126" s="23">
        <f>IF(K126="","",MAX(0,K126-IF(L126="",0,L126)))</f>
        <v/>
      </c>
      <c r="N126" s="20" t="n"/>
      <c r="O126" s="20" t="n"/>
      <c r="P126" s="20" t="n"/>
      <c r="Q126" s="20" t="n"/>
      <c r="R126" s="20" t="n"/>
      <c r="S126" s="19">
        <f>IF(A126="","",IF(COUNTIF('Email Log'!B:B,A126)&gt;0,"YES","NO"))</f>
        <v/>
      </c>
    </row>
    <row r="127">
      <c r="A127" s="20" t="n"/>
      <c r="B127" s="20" t="n"/>
      <c r="C127" s="20" t="n"/>
      <c r="D127" s="20" t="n"/>
      <c r="E127" s="20" t="n"/>
      <c r="F127" s="21" t="n"/>
      <c r="G127" s="21" t="n"/>
      <c r="H127" s="20" t="n"/>
      <c r="I127" s="22" t="n"/>
      <c r="J127" s="19">
        <f>IF(OR(F127="",G127=""),"",MAX(0,G127-F127))</f>
        <v/>
      </c>
      <c r="K127" s="23">
        <f>IF(OR(I127="",J127=""),"",I127*J127)</f>
        <v/>
      </c>
      <c r="L127" s="22" t="n"/>
      <c r="M127" s="23">
        <f>IF(K127="","",MAX(0,K127-IF(L127="",0,L127)))</f>
        <v/>
      </c>
      <c r="N127" s="20" t="n"/>
      <c r="O127" s="20" t="n"/>
      <c r="P127" s="20" t="n"/>
      <c r="Q127" s="20" t="n"/>
      <c r="R127" s="20" t="n"/>
      <c r="S127" s="19">
        <f>IF(A127="","",IF(COUNTIF('Email Log'!B:B,A127)&gt;0,"YES","NO"))</f>
        <v/>
      </c>
    </row>
    <row r="128">
      <c r="A128" s="20" t="n"/>
      <c r="B128" s="20" t="n"/>
      <c r="C128" s="20" t="n"/>
      <c r="D128" s="20" t="n"/>
      <c r="E128" s="20" t="n"/>
      <c r="F128" s="21" t="n"/>
      <c r="G128" s="21" t="n"/>
      <c r="H128" s="20" t="n"/>
      <c r="I128" s="22" t="n"/>
      <c r="J128" s="19">
        <f>IF(OR(F128="",G128=""),"",MAX(0,G128-F128))</f>
        <v/>
      </c>
      <c r="K128" s="23">
        <f>IF(OR(I128="",J128=""),"",I128*J128)</f>
        <v/>
      </c>
      <c r="L128" s="22" t="n"/>
      <c r="M128" s="23">
        <f>IF(K128="","",MAX(0,K128-IF(L128="",0,L128)))</f>
        <v/>
      </c>
      <c r="N128" s="20" t="n"/>
      <c r="O128" s="20" t="n"/>
      <c r="P128" s="20" t="n"/>
      <c r="Q128" s="20" t="n"/>
      <c r="R128" s="20" t="n"/>
      <c r="S128" s="19">
        <f>IF(A128="","",IF(COUNTIF('Email Log'!B:B,A128)&gt;0,"YES","NO"))</f>
        <v/>
      </c>
    </row>
    <row r="129">
      <c r="A129" s="20" t="n"/>
      <c r="B129" s="20" t="n"/>
      <c r="C129" s="20" t="n"/>
      <c r="D129" s="20" t="n"/>
      <c r="E129" s="20" t="n"/>
      <c r="F129" s="21" t="n"/>
      <c r="G129" s="21" t="n"/>
      <c r="H129" s="20" t="n"/>
      <c r="I129" s="22" t="n"/>
      <c r="J129" s="19">
        <f>IF(OR(F129="",G129=""),"",MAX(0,G129-F129))</f>
        <v/>
      </c>
      <c r="K129" s="23">
        <f>IF(OR(I129="",J129=""),"",I129*J129)</f>
        <v/>
      </c>
      <c r="L129" s="22" t="n"/>
      <c r="M129" s="23">
        <f>IF(K129="","",MAX(0,K129-IF(L129="",0,L129)))</f>
        <v/>
      </c>
      <c r="N129" s="20" t="n"/>
      <c r="O129" s="20" t="n"/>
      <c r="P129" s="20" t="n"/>
      <c r="Q129" s="20" t="n"/>
      <c r="R129" s="20" t="n"/>
      <c r="S129" s="19">
        <f>IF(A129="","",IF(COUNTIF('Email Log'!B:B,A129)&gt;0,"YES","NO"))</f>
        <v/>
      </c>
    </row>
    <row r="130">
      <c r="A130" s="20" t="n"/>
      <c r="B130" s="20" t="n"/>
      <c r="C130" s="20" t="n"/>
      <c r="D130" s="20" t="n"/>
      <c r="E130" s="20" t="n"/>
      <c r="F130" s="21" t="n"/>
      <c r="G130" s="21" t="n"/>
      <c r="H130" s="20" t="n"/>
      <c r="I130" s="22" t="n"/>
      <c r="J130" s="19">
        <f>IF(OR(F130="",G130=""),"",MAX(0,G130-F130))</f>
        <v/>
      </c>
      <c r="K130" s="23">
        <f>IF(OR(I130="",J130=""),"",I130*J130)</f>
        <v/>
      </c>
      <c r="L130" s="22" t="n"/>
      <c r="M130" s="23">
        <f>IF(K130="","",MAX(0,K130-IF(L130="",0,L130)))</f>
        <v/>
      </c>
      <c r="N130" s="20" t="n"/>
      <c r="O130" s="20" t="n"/>
      <c r="P130" s="20" t="n"/>
      <c r="Q130" s="20" t="n"/>
      <c r="R130" s="20" t="n"/>
      <c r="S130" s="19">
        <f>IF(A130="","",IF(COUNTIF('Email Log'!B:B,A130)&gt;0,"YES","NO"))</f>
        <v/>
      </c>
    </row>
    <row r="131">
      <c r="A131" s="20" t="n"/>
      <c r="B131" s="20" t="n"/>
      <c r="C131" s="20" t="n"/>
      <c r="D131" s="20" t="n"/>
      <c r="E131" s="20" t="n"/>
      <c r="F131" s="21" t="n"/>
      <c r="G131" s="21" t="n"/>
      <c r="H131" s="20" t="n"/>
      <c r="I131" s="22" t="n"/>
      <c r="J131" s="19">
        <f>IF(OR(F131="",G131=""),"",MAX(0,G131-F131))</f>
        <v/>
      </c>
      <c r="K131" s="23">
        <f>IF(OR(I131="",J131=""),"",I131*J131)</f>
        <v/>
      </c>
      <c r="L131" s="22" t="n"/>
      <c r="M131" s="23">
        <f>IF(K131="","",MAX(0,K131-IF(L131="",0,L131)))</f>
        <v/>
      </c>
      <c r="N131" s="20" t="n"/>
      <c r="O131" s="20" t="n"/>
      <c r="P131" s="20" t="n"/>
      <c r="Q131" s="20" t="n"/>
      <c r="R131" s="20" t="n"/>
      <c r="S131" s="19">
        <f>IF(A131="","",IF(COUNTIF('Email Log'!B:B,A131)&gt;0,"YES","NO"))</f>
        <v/>
      </c>
    </row>
    <row r="132">
      <c r="A132" s="20" t="n"/>
      <c r="B132" s="20" t="n"/>
      <c r="C132" s="20" t="n"/>
      <c r="D132" s="20" t="n"/>
      <c r="E132" s="20" t="n"/>
      <c r="F132" s="21" t="n"/>
      <c r="G132" s="21" t="n"/>
      <c r="H132" s="20" t="n"/>
      <c r="I132" s="22" t="n"/>
      <c r="J132" s="19">
        <f>IF(OR(F132="",G132=""),"",MAX(0,G132-F132))</f>
        <v/>
      </c>
      <c r="K132" s="23">
        <f>IF(OR(I132="",J132=""),"",I132*J132)</f>
        <v/>
      </c>
      <c r="L132" s="22" t="n"/>
      <c r="M132" s="23">
        <f>IF(K132="","",MAX(0,K132-IF(L132="",0,L132)))</f>
        <v/>
      </c>
      <c r="N132" s="20" t="n"/>
      <c r="O132" s="20" t="n"/>
      <c r="P132" s="20" t="n"/>
      <c r="Q132" s="20" t="n"/>
      <c r="R132" s="20" t="n"/>
      <c r="S132" s="19">
        <f>IF(A132="","",IF(COUNTIF('Email Log'!B:B,A132)&gt;0,"YES","NO"))</f>
        <v/>
      </c>
    </row>
    <row r="133">
      <c r="A133" s="20" t="n"/>
      <c r="B133" s="20" t="n"/>
      <c r="C133" s="20" t="n"/>
      <c r="D133" s="20" t="n"/>
      <c r="E133" s="20" t="n"/>
      <c r="F133" s="21" t="n"/>
      <c r="G133" s="21" t="n"/>
      <c r="H133" s="20" t="n"/>
      <c r="I133" s="22" t="n"/>
      <c r="J133" s="19">
        <f>IF(OR(F133="",G133=""),"",MAX(0,G133-F133))</f>
        <v/>
      </c>
      <c r="K133" s="23">
        <f>IF(OR(I133="",J133=""),"",I133*J133)</f>
        <v/>
      </c>
      <c r="L133" s="22" t="n"/>
      <c r="M133" s="23">
        <f>IF(K133="","",MAX(0,K133-IF(L133="",0,L133)))</f>
        <v/>
      </c>
      <c r="N133" s="20" t="n"/>
      <c r="O133" s="20" t="n"/>
      <c r="P133" s="20" t="n"/>
      <c r="Q133" s="20" t="n"/>
      <c r="R133" s="20" t="n"/>
      <c r="S133" s="19">
        <f>IF(A133="","",IF(COUNTIF('Email Log'!B:B,A133)&gt;0,"YES","NO"))</f>
        <v/>
      </c>
    </row>
    <row r="134">
      <c r="A134" s="20" t="n"/>
      <c r="B134" s="20" t="n"/>
      <c r="C134" s="20" t="n"/>
      <c r="D134" s="20" t="n"/>
      <c r="E134" s="20" t="n"/>
      <c r="F134" s="21" t="n"/>
      <c r="G134" s="21" t="n"/>
      <c r="H134" s="20" t="n"/>
      <c r="I134" s="22" t="n"/>
      <c r="J134" s="19">
        <f>IF(OR(F134="",G134=""),"",MAX(0,G134-F134))</f>
        <v/>
      </c>
      <c r="K134" s="23">
        <f>IF(OR(I134="",J134=""),"",I134*J134)</f>
        <v/>
      </c>
      <c r="L134" s="22" t="n"/>
      <c r="M134" s="23">
        <f>IF(K134="","",MAX(0,K134-IF(L134="",0,L134)))</f>
        <v/>
      </c>
      <c r="N134" s="20" t="n"/>
      <c r="O134" s="20" t="n"/>
      <c r="P134" s="20" t="n"/>
      <c r="Q134" s="20" t="n"/>
      <c r="R134" s="20" t="n"/>
      <c r="S134" s="19">
        <f>IF(A134="","",IF(COUNTIF('Email Log'!B:B,A134)&gt;0,"YES","NO"))</f>
        <v/>
      </c>
    </row>
    <row r="135">
      <c r="A135" s="20" t="n"/>
      <c r="B135" s="20" t="n"/>
      <c r="C135" s="20" t="n"/>
      <c r="D135" s="20" t="n"/>
      <c r="E135" s="20" t="n"/>
      <c r="F135" s="21" t="n"/>
      <c r="G135" s="21" t="n"/>
      <c r="H135" s="20" t="n"/>
      <c r="I135" s="22" t="n"/>
      <c r="J135" s="19">
        <f>IF(OR(F135="",G135=""),"",MAX(0,G135-F135))</f>
        <v/>
      </c>
      <c r="K135" s="23">
        <f>IF(OR(I135="",J135=""),"",I135*J135)</f>
        <v/>
      </c>
      <c r="L135" s="22" t="n"/>
      <c r="M135" s="23">
        <f>IF(K135="","",MAX(0,K135-IF(L135="",0,L135)))</f>
        <v/>
      </c>
      <c r="N135" s="20" t="n"/>
      <c r="O135" s="20" t="n"/>
      <c r="P135" s="20" t="n"/>
      <c r="Q135" s="20" t="n"/>
      <c r="R135" s="20" t="n"/>
      <c r="S135" s="19">
        <f>IF(A135="","",IF(COUNTIF('Email Log'!B:B,A135)&gt;0,"YES","NO"))</f>
        <v/>
      </c>
    </row>
    <row r="136">
      <c r="A136" s="20" t="n"/>
      <c r="B136" s="20" t="n"/>
      <c r="C136" s="20" t="n"/>
      <c r="D136" s="20" t="n"/>
      <c r="E136" s="20" t="n"/>
      <c r="F136" s="21" t="n"/>
      <c r="G136" s="21" t="n"/>
      <c r="H136" s="20" t="n"/>
      <c r="I136" s="22" t="n"/>
      <c r="J136" s="19">
        <f>IF(OR(F136="",G136=""),"",MAX(0,G136-F136))</f>
        <v/>
      </c>
      <c r="K136" s="23">
        <f>IF(OR(I136="",J136=""),"",I136*J136)</f>
        <v/>
      </c>
      <c r="L136" s="22" t="n"/>
      <c r="M136" s="23">
        <f>IF(K136="","",MAX(0,K136-IF(L136="",0,L136)))</f>
        <v/>
      </c>
      <c r="N136" s="20" t="n"/>
      <c r="O136" s="20" t="n"/>
      <c r="P136" s="20" t="n"/>
      <c r="Q136" s="20" t="n"/>
      <c r="R136" s="20" t="n"/>
      <c r="S136" s="19">
        <f>IF(A136="","",IF(COUNTIF('Email Log'!B:B,A136)&gt;0,"YES","NO"))</f>
        <v/>
      </c>
    </row>
    <row r="137">
      <c r="A137" s="20" t="n"/>
      <c r="B137" s="20" t="n"/>
      <c r="C137" s="20" t="n"/>
      <c r="D137" s="20" t="n"/>
      <c r="E137" s="20" t="n"/>
      <c r="F137" s="21" t="n"/>
      <c r="G137" s="21" t="n"/>
      <c r="H137" s="20" t="n"/>
      <c r="I137" s="22" t="n"/>
      <c r="J137" s="19">
        <f>IF(OR(F137="",G137=""),"",MAX(0,G137-F137))</f>
        <v/>
      </c>
      <c r="K137" s="23">
        <f>IF(OR(I137="",J137=""),"",I137*J137)</f>
        <v/>
      </c>
      <c r="L137" s="22" t="n"/>
      <c r="M137" s="23">
        <f>IF(K137="","",MAX(0,K137-IF(L137="",0,L137)))</f>
        <v/>
      </c>
      <c r="N137" s="20" t="n"/>
      <c r="O137" s="20" t="n"/>
      <c r="P137" s="20" t="n"/>
      <c r="Q137" s="20" t="n"/>
      <c r="R137" s="20" t="n"/>
      <c r="S137" s="19">
        <f>IF(A137="","",IF(COUNTIF('Email Log'!B:B,A137)&gt;0,"YES","NO"))</f>
        <v/>
      </c>
    </row>
    <row r="138">
      <c r="A138" s="20" t="n"/>
      <c r="B138" s="20" t="n"/>
      <c r="C138" s="20" t="n"/>
      <c r="D138" s="20" t="n"/>
      <c r="E138" s="20" t="n"/>
      <c r="F138" s="21" t="n"/>
      <c r="G138" s="21" t="n"/>
      <c r="H138" s="20" t="n"/>
      <c r="I138" s="22" t="n"/>
      <c r="J138" s="19">
        <f>IF(OR(F138="",G138=""),"",MAX(0,G138-F138))</f>
        <v/>
      </c>
      <c r="K138" s="23">
        <f>IF(OR(I138="",J138=""),"",I138*J138)</f>
        <v/>
      </c>
      <c r="L138" s="22" t="n"/>
      <c r="M138" s="23">
        <f>IF(K138="","",MAX(0,K138-IF(L138="",0,L138)))</f>
        <v/>
      </c>
      <c r="N138" s="20" t="n"/>
      <c r="O138" s="20" t="n"/>
      <c r="P138" s="20" t="n"/>
      <c r="Q138" s="20" t="n"/>
      <c r="R138" s="20" t="n"/>
      <c r="S138" s="19">
        <f>IF(A138="","",IF(COUNTIF('Email Log'!B:B,A138)&gt;0,"YES","NO"))</f>
        <v/>
      </c>
    </row>
    <row r="139">
      <c r="A139" s="20" t="n"/>
      <c r="B139" s="20" t="n"/>
      <c r="C139" s="20" t="n"/>
      <c r="D139" s="20" t="n"/>
      <c r="E139" s="20" t="n"/>
      <c r="F139" s="21" t="n"/>
      <c r="G139" s="21" t="n"/>
      <c r="H139" s="20" t="n"/>
      <c r="I139" s="22" t="n"/>
      <c r="J139" s="19">
        <f>IF(OR(F139="",G139=""),"",MAX(0,G139-F139))</f>
        <v/>
      </c>
      <c r="K139" s="23">
        <f>IF(OR(I139="",J139=""),"",I139*J139)</f>
        <v/>
      </c>
      <c r="L139" s="22" t="n"/>
      <c r="M139" s="23">
        <f>IF(K139="","",MAX(0,K139-IF(L139="",0,L139)))</f>
        <v/>
      </c>
      <c r="N139" s="20" t="n"/>
      <c r="O139" s="20" t="n"/>
      <c r="P139" s="20" t="n"/>
      <c r="Q139" s="20" t="n"/>
      <c r="R139" s="20" t="n"/>
      <c r="S139" s="19">
        <f>IF(A139="","",IF(COUNTIF('Email Log'!B:B,A139)&gt;0,"YES","NO"))</f>
        <v/>
      </c>
    </row>
    <row r="140">
      <c r="A140" s="20" t="n"/>
      <c r="B140" s="20" t="n"/>
      <c r="C140" s="20" t="n"/>
      <c r="D140" s="20" t="n"/>
      <c r="E140" s="20" t="n"/>
      <c r="F140" s="21" t="n"/>
      <c r="G140" s="21" t="n"/>
      <c r="H140" s="20" t="n"/>
      <c r="I140" s="22" t="n"/>
      <c r="J140" s="19">
        <f>IF(OR(F140="",G140=""),"",MAX(0,G140-F140))</f>
        <v/>
      </c>
      <c r="K140" s="23">
        <f>IF(OR(I140="",J140=""),"",I140*J140)</f>
        <v/>
      </c>
      <c r="L140" s="22" t="n"/>
      <c r="M140" s="23">
        <f>IF(K140="","",MAX(0,K140-IF(L140="",0,L140)))</f>
        <v/>
      </c>
      <c r="N140" s="20" t="n"/>
      <c r="O140" s="20" t="n"/>
      <c r="P140" s="20" t="n"/>
      <c r="Q140" s="20" t="n"/>
      <c r="R140" s="20" t="n"/>
      <c r="S140" s="19">
        <f>IF(A140="","",IF(COUNTIF('Email Log'!B:B,A140)&gt;0,"YES","NO"))</f>
        <v/>
      </c>
    </row>
    <row r="141">
      <c r="A141" s="20" t="n"/>
      <c r="B141" s="20" t="n"/>
      <c r="C141" s="20" t="n"/>
      <c r="D141" s="20" t="n"/>
      <c r="E141" s="20" t="n"/>
      <c r="F141" s="21" t="n"/>
      <c r="G141" s="21" t="n"/>
      <c r="H141" s="20" t="n"/>
      <c r="I141" s="22" t="n"/>
      <c r="J141" s="19">
        <f>IF(OR(F141="",G141=""),"",MAX(0,G141-F141))</f>
        <v/>
      </c>
      <c r="K141" s="23">
        <f>IF(OR(I141="",J141=""),"",I141*J141)</f>
        <v/>
      </c>
      <c r="L141" s="22" t="n"/>
      <c r="M141" s="23">
        <f>IF(K141="","",MAX(0,K141-IF(L141="",0,L141)))</f>
        <v/>
      </c>
      <c r="N141" s="20" t="n"/>
      <c r="O141" s="20" t="n"/>
      <c r="P141" s="20" t="n"/>
      <c r="Q141" s="20" t="n"/>
      <c r="R141" s="20" t="n"/>
      <c r="S141" s="19">
        <f>IF(A141="","",IF(COUNTIF('Email Log'!B:B,A141)&gt;0,"YES","NO"))</f>
        <v/>
      </c>
    </row>
    <row r="142">
      <c r="A142" s="20" t="n"/>
      <c r="B142" s="20" t="n"/>
      <c r="C142" s="20" t="n"/>
      <c r="D142" s="20" t="n"/>
      <c r="E142" s="20" t="n"/>
      <c r="F142" s="21" t="n"/>
      <c r="G142" s="21" t="n"/>
      <c r="H142" s="20" t="n"/>
      <c r="I142" s="22" t="n"/>
      <c r="J142" s="19">
        <f>IF(OR(F142="",G142=""),"",MAX(0,G142-F142))</f>
        <v/>
      </c>
      <c r="K142" s="23">
        <f>IF(OR(I142="",J142=""),"",I142*J142)</f>
        <v/>
      </c>
      <c r="L142" s="22" t="n"/>
      <c r="M142" s="23">
        <f>IF(K142="","",MAX(0,K142-IF(L142="",0,L142)))</f>
        <v/>
      </c>
      <c r="N142" s="20" t="n"/>
      <c r="O142" s="20" t="n"/>
      <c r="P142" s="20" t="n"/>
      <c r="Q142" s="20" t="n"/>
      <c r="R142" s="20" t="n"/>
      <c r="S142" s="19">
        <f>IF(A142="","",IF(COUNTIF('Email Log'!B:B,A142)&gt;0,"YES","NO"))</f>
        <v/>
      </c>
    </row>
    <row r="143">
      <c r="A143" s="20" t="n"/>
      <c r="B143" s="20" t="n"/>
      <c r="C143" s="20" t="n"/>
      <c r="D143" s="20" t="n"/>
      <c r="E143" s="20" t="n"/>
      <c r="F143" s="21" t="n"/>
      <c r="G143" s="21" t="n"/>
      <c r="H143" s="20" t="n"/>
      <c r="I143" s="22" t="n"/>
      <c r="J143" s="19">
        <f>IF(OR(F143="",G143=""),"",MAX(0,G143-F143))</f>
        <v/>
      </c>
      <c r="K143" s="23">
        <f>IF(OR(I143="",J143=""),"",I143*J143)</f>
        <v/>
      </c>
      <c r="L143" s="22" t="n"/>
      <c r="M143" s="23">
        <f>IF(K143="","",MAX(0,K143-IF(L143="",0,L143)))</f>
        <v/>
      </c>
      <c r="N143" s="20" t="n"/>
      <c r="O143" s="20" t="n"/>
      <c r="P143" s="20" t="n"/>
      <c r="Q143" s="20" t="n"/>
      <c r="R143" s="20" t="n"/>
      <c r="S143" s="19">
        <f>IF(A143="","",IF(COUNTIF('Email Log'!B:B,A143)&gt;0,"YES","NO"))</f>
        <v/>
      </c>
    </row>
    <row r="144">
      <c r="A144" s="20" t="n"/>
      <c r="B144" s="20" t="n"/>
      <c r="C144" s="20" t="n"/>
      <c r="D144" s="20" t="n"/>
      <c r="E144" s="20" t="n"/>
      <c r="F144" s="21" t="n"/>
      <c r="G144" s="21" t="n"/>
      <c r="H144" s="20" t="n"/>
      <c r="I144" s="22" t="n"/>
      <c r="J144" s="19">
        <f>IF(OR(F144="",G144=""),"",MAX(0,G144-F144))</f>
        <v/>
      </c>
      <c r="K144" s="23">
        <f>IF(OR(I144="",J144=""),"",I144*J144)</f>
        <v/>
      </c>
      <c r="L144" s="22" t="n"/>
      <c r="M144" s="23">
        <f>IF(K144="","",MAX(0,K144-IF(L144="",0,L144)))</f>
        <v/>
      </c>
      <c r="N144" s="20" t="n"/>
      <c r="O144" s="20" t="n"/>
      <c r="P144" s="20" t="n"/>
      <c r="Q144" s="20" t="n"/>
      <c r="R144" s="20" t="n"/>
      <c r="S144" s="19">
        <f>IF(A144="","",IF(COUNTIF('Email Log'!B:B,A144)&gt;0,"YES","NO"))</f>
        <v/>
      </c>
    </row>
    <row r="145">
      <c r="A145" s="20" t="n"/>
      <c r="B145" s="20" t="n"/>
      <c r="C145" s="20" t="n"/>
      <c r="D145" s="20" t="n"/>
      <c r="E145" s="20" t="n"/>
      <c r="F145" s="21" t="n"/>
      <c r="G145" s="21" t="n"/>
      <c r="H145" s="20" t="n"/>
      <c r="I145" s="22" t="n"/>
      <c r="J145" s="19">
        <f>IF(OR(F145="",G145=""),"",MAX(0,G145-F145))</f>
        <v/>
      </c>
      <c r="K145" s="23">
        <f>IF(OR(I145="",J145=""),"",I145*J145)</f>
        <v/>
      </c>
      <c r="L145" s="22" t="n"/>
      <c r="M145" s="23">
        <f>IF(K145="","",MAX(0,K145-IF(L145="",0,L145)))</f>
        <v/>
      </c>
      <c r="N145" s="20" t="n"/>
      <c r="O145" s="20" t="n"/>
      <c r="P145" s="20" t="n"/>
      <c r="Q145" s="20" t="n"/>
      <c r="R145" s="20" t="n"/>
      <c r="S145" s="19">
        <f>IF(A145="","",IF(COUNTIF('Email Log'!B:B,A145)&gt;0,"YES","NO"))</f>
        <v/>
      </c>
    </row>
    <row r="146">
      <c r="A146" s="20" t="n"/>
      <c r="B146" s="20" t="n"/>
      <c r="C146" s="20" t="n"/>
      <c r="D146" s="20" t="n"/>
      <c r="E146" s="20" t="n"/>
      <c r="F146" s="21" t="n"/>
      <c r="G146" s="21" t="n"/>
      <c r="H146" s="20" t="n"/>
      <c r="I146" s="22" t="n"/>
      <c r="J146" s="19">
        <f>IF(OR(F146="",G146=""),"",MAX(0,G146-F146))</f>
        <v/>
      </c>
      <c r="K146" s="23">
        <f>IF(OR(I146="",J146=""),"",I146*J146)</f>
        <v/>
      </c>
      <c r="L146" s="22" t="n"/>
      <c r="M146" s="23">
        <f>IF(K146="","",MAX(0,K146-IF(L146="",0,L146)))</f>
        <v/>
      </c>
      <c r="N146" s="20" t="n"/>
      <c r="O146" s="20" t="n"/>
      <c r="P146" s="20" t="n"/>
      <c r="Q146" s="20" t="n"/>
      <c r="R146" s="20" t="n"/>
      <c r="S146" s="19">
        <f>IF(A146="","",IF(COUNTIF('Email Log'!B:B,A146)&gt;0,"YES","NO"))</f>
        <v/>
      </c>
    </row>
    <row r="147">
      <c r="A147" s="20" t="n"/>
      <c r="B147" s="20" t="n"/>
      <c r="C147" s="20" t="n"/>
      <c r="D147" s="20" t="n"/>
      <c r="E147" s="20" t="n"/>
      <c r="F147" s="21" t="n"/>
      <c r="G147" s="21" t="n"/>
      <c r="H147" s="20" t="n"/>
      <c r="I147" s="22" t="n"/>
      <c r="J147" s="19">
        <f>IF(OR(F147="",G147=""),"",MAX(0,G147-F147))</f>
        <v/>
      </c>
      <c r="K147" s="23">
        <f>IF(OR(I147="",J147=""),"",I147*J147)</f>
        <v/>
      </c>
      <c r="L147" s="22" t="n"/>
      <c r="M147" s="23">
        <f>IF(K147="","",MAX(0,K147-IF(L147="",0,L147)))</f>
        <v/>
      </c>
      <c r="N147" s="20" t="n"/>
      <c r="O147" s="20" t="n"/>
      <c r="P147" s="20" t="n"/>
      <c r="Q147" s="20" t="n"/>
      <c r="R147" s="20" t="n"/>
      <c r="S147" s="19">
        <f>IF(A147="","",IF(COUNTIF('Email Log'!B:B,A147)&gt;0,"YES","NO"))</f>
        <v/>
      </c>
    </row>
    <row r="148">
      <c r="A148" s="20" t="n"/>
      <c r="B148" s="20" t="n"/>
      <c r="C148" s="20" t="n"/>
      <c r="D148" s="20" t="n"/>
      <c r="E148" s="20" t="n"/>
      <c r="F148" s="21" t="n"/>
      <c r="G148" s="21" t="n"/>
      <c r="H148" s="20" t="n"/>
      <c r="I148" s="22" t="n"/>
      <c r="J148" s="19">
        <f>IF(OR(F148="",G148=""),"",MAX(0,G148-F148))</f>
        <v/>
      </c>
      <c r="K148" s="23">
        <f>IF(OR(I148="",J148=""),"",I148*J148)</f>
        <v/>
      </c>
      <c r="L148" s="22" t="n"/>
      <c r="M148" s="23">
        <f>IF(K148="","",MAX(0,K148-IF(L148="",0,L148)))</f>
        <v/>
      </c>
      <c r="N148" s="20" t="n"/>
      <c r="O148" s="20" t="n"/>
      <c r="P148" s="20" t="n"/>
      <c r="Q148" s="20" t="n"/>
      <c r="R148" s="20" t="n"/>
      <c r="S148" s="19">
        <f>IF(A148="","",IF(COUNTIF('Email Log'!B:B,A148)&gt;0,"YES","NO"))</f>
        <v/>
      </c>
    </row>
    <row r="149">
      <c r="A149" s="20" t="n"/>
      <c r="B149" s="20" t="n"/>
      <c r="C149" s="20" t="n"/>
      <c r="D149" s="20" t="n"/>
      <c r="E149" s="20" t="n"/>
      <c r="F149" s="21" t="n"/>
      <c r="G149" s="21" t="n"/>
      <c r="H149" s="20" t="n"/>
      <c r="I149" s="22" t="n"/>
      <c r="J149" s="19">
        <f>IF(OR(F149="",G149=""),"",MAX(0,G149-F149))</f>
        <v/>
      </c>
      <c r="K149" s="23">
        <f>IF(OR(I149="",J149=""),"",I149*J149)</f>
        <v/>
      </c>
      <c r="L149" s="22" t="n"/>
      <c r="M149" s="23">
        <f>IF(K149="","",MAX(0,K149-IF(L149="",0,L149)))</f>
        <v/>
      </c>
      <c r="N149" s="20" t="n"/>
      <c r="O149" s="20" t="n"/>
      <c r="P149" s="20" t="n"/>
      <c r="Q149" s="20" t="n"/>
      <c r="R149" s="20" t="n"/>
      <c r="S149" s="19">
        <f>IF(A149="","",IF(COUNTIF('Email Log'!B:B,A149)&gt;0,"YES","NO"))</f>
        <v/>
      </c>
    </row>
    <row r="150">
      <c r="A150" s="20" t="n"/>
      <c r="B150" s="20" t="n"/>
      <c r="C150" s="20" t="n"/>
      <c r="D150" s="20" t="n"/>
      <c r="E150" s="20" t="n"/>
      <c r="F150" s="21" t="n"/>
      <c r="G150" s="21" t="n"/>
      <c r="H150" s="20" t="n"/>
      <c r="I150" s="22" t="n"/>
      <c r="J150" s="19">
        <f>IF(OR(F150="",G150=""),"",MAX(0,G150-F150))</f>
        <v/>
      </c>
      <c r="K150" s="23">
        <f>IF(OR(I150="",J150=""),"",I150*J150)</f>
        <v/>
      </c>
      <c r="L150" s="22" t="n"/>
      <c r="M150" s="23">
        <f>IF(K150="","",MAX(0,K150-IF(L150="",0,L150)))</f>
        <v/>
      </c>
      <c r="N150" s="20" t="n"/>
      <c r="O150" s="20" t="n"/>
      <c r="P150" s="20" t="n"/>
      <c r="Q150" s="20" t="n"/>
      <c r="R150" s="20" t="n"/>
      <c r="S150" s="19">
        <f>IF(A150="","",IF(COUNTIF('Email Log'!B:B,A150)&gt;0,"YES","NO"))</f>
        <v/>
      </c>
    </row>
    <row r="151">
      <c r="A151" s="20" t="n"/>
      <c r="B151" s="20" t="n"/>
      <c r="C151" s="20" t="n"/>
      <c r="D151" s="20" t="n"/>
      <c r="E151" s="20" t="n"/>
      <c r="F151" s="21" t="n"/>
      <c r="G151" s="21" t="n"/>
      <c r="H151" s="20" t="n"/>
      <c r="I151" s="22" t="n"/>
      <c r="J151" s="19">
        <f>IF(OR(F151="",G151=""),"",MAX(0,G151-F151))</f>
        <v/>
      </c>
      <c r="K151" s="23">
        <f>IF(OR(I151="",J151=""),"",I151*J151)</f>
        <v/>
      </c>
      <c r="L151" s="22" t="n"/>
      <c r="M151" s="23">
        <f>IF(K151="","",MAX(0,K151-IF(L151="",0,L151)))</f>
        <v/>
      </c>
      <c r="N151" s="20" t="n"/>
      <c r="O151" s="20" t="n"/>
      <c r="P151" s="20" t="n"/>
      <c r="Q151" s="20" t="n"/>
      <c r="R151" s="20" t="n"/>
      <c r="S151" s="19">
        <f>IF(A151="","",IF(COUNTIF('Email Log'!B:B,A151)&gt;0,"YES","NO"))</f>
        <v/>
      </c>
    </row>
    <row r="152">
      <c r="A152" s="20" t="n"/>
      <c r="B152" s="20" t="n"/>
      <c r="C152" s="20" t="n"/>
      <c r="D152" s="20" t="n"/>
      <c r="E152" s="20" t="n"/>
      <c r="F152" s="21" t="n"/>
      <c r="G152" s="21" t="n"/>
      <c r="H152" s="20" t="n"/>
      <c r="I152" s="22" t="n"/>
      <c r="J152" s="19">
        <f>IF(OR(F152="",G152=""),"",MAX(0,G152-F152))</f>
        <v/>
      </c>
      <c r="K152" s="23">
        <f>IF(OR(I152="",J152=""),"",I152*J152)</f>
        <v/>
      </c>
      <c r="L152" s="22" t="n"/>
      <c r="M152" s="23">
        <f>IF(K152="","",MAX(0,K152-IF(L152="",0,L152)))</f>
        <v/>
      </c>
      <c r="N152" s="20" t="n"/>
      <c r="O152" s="20" t="n"/>
      <c r="P152" s="20" t="n"/>
      <c r="Q152" s="20" t="n"/>
      <c r="R152" s="20" t="n"/>
      <c r="S152" s="19">
        <f>IF(A152="","",IF(COUNTIF('Email Log'!B:B,A152)&gt;0,"YES","NO"))</f>
        <v/>
      </c>
    </row>
    <row r="153">
      <c r="A153" s="20" t="n"/>
      <c r="B153" s="20" t="n"/>
      <c r="C153" s="20" t="n"/>
      <c r="D153" s="20" t="n"/>
      <c r="E153" s="20" t="n"/>
      <c r="F153" s="21" t="n"/>
      <c r="G153" s="21" t="n"/>
      <c r="H153" s="20" t="n"/>
      <c r="I153" s="22" t="n"/>
      <c r="J153" s="19">
        <f>IF(OR(F153="",G153=""),"",MAX(0,G153-F153))</f>
        <v/>
      </c>
      <c r="K153" s="23">
        <f>IF(OR(I153="",J153=""),"",I153*J153)</f>
        <v/>
      </c>
      <c r="L153" s="22" t="n"/>
      <c r="M153" s="23">
        <f>IF(K153="","",MAX(0,K153-IF(L153="",0,L153)))</f>
        <v/>
      </c>
      <c r="N153" s="20" t="n"/>
      <c r="O153" s="20" t="n"/>
      <c r="P153" s="20" t="n"/>
      <c r="Q153" s="20" t="n"/>
      <c r="R153" s="20" t="n"/>
      <c r="S153" s="19">
        <f>IF(A153="","",IF(COUNTIF('Email Log'!B:B,A153)&gt;0,"YES","NO"))</f>
        <v/>
      </c>
    </row>
    <row r="154">
      <c r="A154" s="20" t="n"/>
      <c r="B154" s="20" t="n"/>
      <c r="C154" s="20" t="n"/>
      <c r="D154" s="20" t="n"/>
      <c r="E154" s="20" t="n"/>
      <c r="F154" s="21" t="n"/>
      <c r="G154" s="21" t="n"/>
      <c r="H154" s="20" t="n"/>
      <c r="I154" s="22" t="n"/>
      <c r="J154" s="19">
        <f>IF(OR(F154="",G154=""),"",MAX(0,G154-F154))</f>
        <v/>
      </c>
      <c r="K154" s="23">
        <f>IF(OR(I154="",J154=""),"",I154*J154)</f>
        <v/>
      </c>
      <c r="L154" s="22" t="n"/>
      <c r="M154" s="23">
        <f>IF(K154="","",MAX(0,K154-IF(L154="",0,L154)))</f>
        <v/>
      </c>
      <c r="N154" s="20" t="n"/>
      <c r="O154" s="20" t="n"/>
      <c r="P154" s="20" t="n"/>
      <c r="Q154" s="20" t="n"/>
      <c r="R154" s="20" t="n"/>
      <c r="S154" s="19">
        <f>IF(A154="","",IF(COUNTIF('Email Log'!B:B,A154)&gt;0,"YES","NO"))</f>
        <v/>
      </c>
    </row>
    <row r="155">
      <c r="A155" s="20" t="n"/>
      <c r="B155" s="20" t="n"/>
      <c r="C155" s="20" t="n"/>
      <c r="D155" s="20" t="n"/>
      <c r="E155" s="20" t="n"/>
      <c r="F155" s="21" t="n"/>
      <c r="G155" s="21" t="n"/>
      <c r="H155" s="20" t="n"/>
      <c r="I155" s="22" t="n"/>
      <c r="J155" s="19">
        <f>IF(OR(F155="",G155=""),"",MAX(0,G155-F155))</f>
        <v/>
      </c>
      <c r="K155" s="23">
        <f>IF(OR(I155="",J155=""),"",I155*J155)</f>
        <v/>
      </c>
      <c r="L155" s="22" t="n"/>
      <c r="M155" s="23">
        <f>IF(K155="","",MAX(0,K155-IF(L155="",0,L155)))</f>
        <v/>
      </c>
      <c r="N155" s="20" t="n"/>
      <c r="O155" s="20" t="n"/>
      <c r="P155" s="20" t="n"/>
      <c r="Q155" s="20" t="n"/>
      <c r="R155" s="20" t="n"/>
      <c r="S155" s="19">
        <f>IF(A155="","",IF(COUNTIF('Email Log'!B:B,A155)&gt;0,"YES","NO"))</f>
        <v/>
      </c>
    </row>
    <row r="156">
      <c r="A156" s="20" t="n"/>
      <c r="B156" s="20" t="n"/>
      <c r="C156" s="20" t="n"/>
      <c r="D156" s="20" t="n"/>
      <c r="E156" s="20" t="n"/>
      <c r="F156" s="21" t="n"/>
      <c r="G156" s="21" t="n"/>
      <c r="H156" s="20" t="n"/>
      <c r="I156" s="22" t="n"/>
      <c r="J156" s="19">
        <f>IF(OR(F156="",G156=""),"",MAX(0,G156-F156))</f>
        <v/>
      </c>
      <c r="K156" s="23">
        <f>IF(OR(I156="",J156=""),"",I156*J156)</f>
        <v/>
      </c>
      <c r="L156" s="22" t="n"/>
      <c r="M156" s="23">
        <f>IF(K156="","",MAX(0,K156-IF(L156="",0,L156)))</f>
        <v/>
      </c>
      <c r="N156" s="20" t="n"/>
      <c r="O156" s="20" t="n"/>
      <c r="P156" s="20" t="n"/>
      <c r="Q156" s="20" t="n"/>
      <c r="R156" s="20" t="n"/>
      <c r="S156" s="19">
        <f>IF(A156="","",IF(COUNTIF('Email Log'!B:B,A156)&gt;0,"YES","NO"))</f>
        <v/>
      </c>
    </row>
    <row r="157">
      <c r="A157" s="20" t="n"/>
      <c r="B157" s="20" t="n"/>
      <c r="C157" s="20" t="n"/>
      <c r="D157" s="20" t="n"/>
      <c r="E157" s="20" t="n"/>
      <c r="F157" s="21" t="n"/>
      <c r="G157" s="21" t="n"/>
      <c r="H157" s="20" t="n"/>
      <c r="I157" s="22" t="n"/>
      <c r="J157" s="19">
        <f>IF(OR(F157="",G157=""),"",MAX(0,G157-F157))</f>
        <v/>
      </c>
      <c r="K157" s="23">
        <f>IF(OR(I157="",J157=""),"",I157*J157)</f>
        <v/>
      </c>
      <c r="L157" s="22" t="n"/>
      <c r="M157" s="23">
        <f>IF(K157="","",MAX(0,K157-IF(L157="",0,L157)))</f>
        <v/>
      </c>
      <c r="N157" s="20" t="n"/>
      <c r="O157" s="20" t="n"/>
      <c r="P157" s="20" t="n"/>
      <c r="Q157" s="20" t="n"/>
      <c r="R157" s="20" t="n"/>
      <c r="S157" s="19">
        <f>IF(A157="","",IF(COUNTIF('Email Log'!B:B,A157)&gt;0,"YES","NO"))</f>
        <v/>
      </c>
    </row>
    <row r="158">
      <c r="A158" s="20" t="n"/>
      <c r="B158" s="20" t="n"/>
      <c r="C158" s="20" t="n"/>
      <c r="D158" s="20" t="n"/>
      <c r="E158" s="20" t="n"/>
      <c r="F158" s="21" t="n"/>
      <c r="G158" s="21" t="n"/>
      <c r="H158" s="20" t="n"/>
      <c r="I158" s="22" t="n"/>
      <c r="J158" s="19">
        <f>IF(OR(F158="",G158=""),"",MAX(0,G158-F158))</f>
        <v/>
      </c>
      <c r="K158" s="23">
        <f>IF(OR(I158="",J158=""),"",I158*J158)</f>
        <v/>
      </c>
      <c r="L158" s="22" t="n"/>
      <c r="M158" s="23">
        <f>IF(K158="","",MAX(0,K158-IF(L158="",0,L158)))</f>
        <v/>
      </c>
      <c r="N158" s="20" t="n"/>
      <c r="O158" s="20" t="n"/>
      <c r="P158" s="20" t="n"/>
      <c r="Q158" s="20" t="n"/>
      <c r="R158" s="20" t="n"/>
      <c r="S158" s="19">
        <f>IF(A158="","",IF(COUNTIF('Email Log'!B:B,A158)&gt;0,"YES","NO"))</f>
        <v/>
      </c>
    </row>
    <row r="159">
      <c r="A159" s="20" t="n"/>
      <c r="B159" s="20" t="n"/>
      <c r="C159" s="20" t="n"/>
      <c r="D159" s="20" t="n"/>
      <c r="E159" s="20" t="n"/>
      <c r="F159" s="21" t="n"/>
      <c r="G159" s="21" t="n"/>
      <c r="H159" s="20" t="n"/>
      <c r="I159" s="22" t="n"/>
      <c r="J159" s="19">
        <f>IF(OR(F159="",G159=""),"",MAX(0,G159-F159))</f>
        <v/>
      </c>
      <c r="K159" s="23">
        <f>IF(OR(I159="",J159=""),"",I159*J159)</f>
        <v/>
      </c>
      <c r="L159" s="22" t="n"/>
      <c r="M159" s="23">
        <f>IF(K159="","",MAX(0,K159-IF(L159="",0,L159)))</f>
        <v/>
      </c>
      <c r="N159" s="20" t="n"/>
      <c r="O159" s="20" t="n"/>
      <c r="P159" s="20" t="n"/>
      <c r="Q159" s="20" t="n"/>
      <c r="R159" s="20" t="n"/>
      <c r="S159" s="19">
        <f>IF(A159="","",IF(COUNTIF('Email Log'!B:B,A159)&gt;0,"YES","NO"))</f>
        <v/>
      </c>
    </row>
    <row r="160">
      <c r="A160" s="20" t="n"/>
      <c r="B160" s="20" t="n"/>
      <c r="C160" s="20" t="n"/>
      <c r="D160" s="20" t="n"/>
      <c r="E160" s="20" t="n"/>
      <c r="F160" s="21" t="n"/>
      <c r="G160" s="21" t="n"/>
      <c r="H160" s="20" t="n"/>
      <c r="I160" s="22" t="n"/>
      <c r="J160" s="19">
        <f>IF(OR(F160="",G160=""),"",MAX(0,G160-F160))</f>
        <v/>
      </c>
      <c r="K160" s="23">
        <f>IF(OR(I160="",J160=""),"",I160*J160)</f>
        <v/>
      </c>
      <c r="L160" s="22" t="n"/>
      <c r="M160" s="23">
        <f>IF(K160="","",MAX(0,K160-IF(L160="",0,L160)))</f>
        <v/>
      </c>
      <c r="N160" s="20" t="n"/>
      <c r="O160" s="20" t="n"/>
      <c r="P160" s="20" t="n"/>
      <c r="Q160" s="20" t="n"/>
      <c r="R160" s="20" t="n"/>
      <c r="S160" s="19">
        <f>IF(A160="","",IF(COUNTIF('Email Log'!B:B,A160)&gt;0,"YES","NO"))</f>
        <v/>
      </c>
    </row>
    <row r="161">
      <c r="A161" s="20" t="n"/>
      <c r="B161" s="20" t="n"/>
      <c r="C161" s="20" t="n"/>
      <c r="D161" s="20" t="n"/>
      <c r="E161" s="20" t="n"/>
      <c r="F161" s="21" t="n"/>
      <c r="G161" s="21" t="n"/>
      <c r="H161" s="20" t="n"/>
      <c r="I161" s="22" t="n"/>
      <c r="J161" s="19">
        <f>IF(OR(F161="",G161=""),"",MAX(0,G161-F161))</f>
        <v/>
      </c>
      <c r="K161" s="23">
        <f>IF(OR(I161="",J161=""),"",I161*J161)</f>
        <v/>
      </c>
      <c r="L161" s="22" t="n"/>
      <c r="M161" s="23">
        <f>IF(K161="","",MAX(0,K161-IF(L161="",0,L161)))</f>
        <v/>
      </c>
      <c r="N161" s="20" t="n"/>
      <c r="O161" s="20" t="n"/>
      <c r="P161" s="20" t="n"/>
      <c r="Q161" s="20" t="n"/>
      <c r="R161" s="20" t="n"/>
      <c r="S161" s="19">
        <f>IF(A161="","",IF(COUNTIF('Email Log'!B:B,A161)&gt;0,"YES","NO"))</f>
        <v/>
      </c>
    </row>
    <row r="162">
      <c r="A162" s="20" t="n"/>
      <c r="B162" s="20" t="n"/>
      <c r="C162" s="20" t="n"/>
      <c r="D162" s="20" t="n"/>
      <c r="E162" s="20" t="n"/>
      <c r="F162" s="21" t="n"/>
      <c r="G162" s="21" t="n"/>
      <c r="H162" s="20" t="n"/>
      <c r="I162" s="22" t="n"/>
      <c r="J162" s="19">
        <f>IF(OR(F162="",G162=""),"",MAX(0,G162-F162))</f>
        <v/>
      </c>
      <c r="K162" s="23">
        <f>IF(OR(I162="",J162=""),"",I162*J162)</f>
        <v/>
      </c>
      <c r="L162" s="22" t="n"/>
      <c r="M162" s="23">
        <f>IF(K162="","",MAX(0,K162-IF(L162="",0,L162)))</f>
        <v/>
      </c>
      <c r="N162" s="20" t="n"/>
      <c r="O162" s="20" t="n"/>
      <c r="P162" s="20" t="n"/>
      <c r="Q162" s="20" t="n"/>
      <c r="R162" s="20" t="n"/>
      <c r="S162" s="19">
        <f>IF(A162="","",IF(COUNTIF('Email Log'!B:B,A162)&gt;0,"YES","NO"))</f>
        <v/>
      </c>
    </row>
    <row r="163">
      <c r="A163" s="20" t="n"/>
      <c r="B163" s="20" t="n"/>
      <c r="C163" s="20" t="n"/>
      <c r="D163" s="20" t="n"/>
      <c r="E163" s="20" t="n"/>
      <c r="F163" s="21" t="n"/>
      <c r="G163" s="21" t="n"/>
      <c r="H163" s="20" t="n"/>
      <c r="I163" s="22" t="n"/>
      <c r="J163" s="19">
        <f>IF(OR(F163="",G163=""),"",MAX(0,G163-F163))</f>
        <v/>
      </c>
      <c r="K163" s="23">
        <f>IF(OR(I163="",J163=""),"",I163*J163)</f>
        <v/>
      </c>
      <c r="L163" s="22" t="n"/>
      <c r="M163" s="23">
        <f>IF(K163="","",MAX(0,K163-IF(L163="",0,L163)))</f>
        <v/>
      </c>
      <c r="N163" s="20" t="n"/>
      <c r="O163" s="20" t="n"/>
      <c r="P163" s="20" t="n"/>
      <c r="Q163" s="20" t="n"/>
      <c r="R163" s="20" t="n"/>
      <c r="S163" s="19">
        <f>IF(A163="","",IF(COUNTIF('Email Log'!B:B,A163)&gt;0,"YES","NO"))</f>
        <v/>
      </c>
    </row>
    <row r="164">
      <c r="A164" s="20" t="n"/>
      <c r="B164" s="20" t="n"/>
      <c r="C164" s="20" t="n"/>
      <c r="D164" s="20" t="n"/>
      <c r="E164" s="20" t="n"/>
      <c r="F164" s="21" t="n"/>
      <c r="G164" s="21" t="n"/>
      <c r="H164" s="20" t="n"/>
      <c r="I164" s="22" t="n"/>
      <c r="J164" s="19">
        <f>IF(OR(F164="",G164=""),"",MAX(0,G164-F164))</f>
        <v/>
      </c>
      <c r="K164" s="23">
        <f>IF(OR(I164="",J164=""),"",I164*J164)</f>
        <v/>
      </c>
      <c r="L164" s="22" t="n"/>
      <c r="M164" s="23">
        <f>IF(K164="","",MAX(0,K164-IF(L164="",0,L164)))</f>
        <v/>
      </c>
      <c r="N164" s="20" t="n"/>
      <c r="O164" s="20" t="n"/>
      <c r="P164" s="20" t="n"/>
      <c r="Q164" s="20" t="n"/>
      <c r="R164" s="20" t="n"/>
      <c r="S164" s="19">
        <f>IF(A164="","",IF(COUNTIF('Email Log'!B:B,A164)&gt;0,"YES","NO"))</f>
        <v/>
      </c>
    </row>
    <row r="165">
      <c r="A165" s="20" t="n"/>
      <c r="B165" s="20" t="n"/>
      <c r="C165" s="20" t="n"/>
      <c r="D165" s="20" t="n"/>
      <c r="E165" s="20" t="n"/>
      <c r="F165" s="21" t="n"/>
      <c r="G165" s="21" t="n"/>
      <c r="H165" s="20" t="n"/>
      <c r="I165" s="22" t="n"/>
      <c r="J165" s="19">
        <f>IF(OR(F165="",G165=""),"",MAX(0,G165-F165))</f>
        <v/>
      </c>
      <c r="K165" s="23">
        <f>IF(OR(I165="",J165=""),"",I165*J165)</f>
        <v/>
      </c>
      <c r="L165" s="22" t="n"/>
      <c r="M165" s="23">
        <f>IF(K165="","",MAX(0,K165-IF(L165="",0,L165)))</f>
        <v/>
      </c>
      <c r="N165" s="20" t="n"/>
      <c r="O165" s="20" t="n"/>
      <c r="P165" s="20" t="n"/>
      <c r="Q165" s="20" t="n"/>
      <c r="R165" s="20" t="n"/>
      <c r="S165" s="19">
        <f>IF(A165="","",IF(COUNTIF('Email Log'!B:B,A165)&gt;0,"YES","NO"))</f>
        <v/>
      </c>
    </row>
    <row r="166">
      <c r="A166" s="20" t="n"/>
      <c r="B166" s="20" t="n"/>
      <c r="C166" s="20" t="n"/>
      <c r="D166" s="20" t="n"/>
      <c r="E166" s="20" t="n"/>
      <c r="F166" s="21" t="n"/>
      <c r="G166" s="21" t="n"/>
      <c r="H166" s="20" t="n"/>
      <c r="I166" s="22" t="n"/>
      <c r="J166" s="19">
        <f>IF(OR(F166="",G166=""),"",MAX(0,G166-F166))</f>
        <v/>
      </c>
      <c r="K166" s="23">
        <f>IF(OR(I166="",J166=""),"",I166*J166)</f>
        <v/>
      </c>
      <c r="L166" s="22" t="n"/>
      <c r="M166" s="23">
        <f>IF(K166="","",MAX(0,K166-IF(L166="",0,L166)))</f>
        <v/>
      </c>
      <c r="N166" s="20" t="n"/>
      <c r="O166" s="20" t="n"/>
      <c r="P166" s="20" t="n"/>
      <c r="Q166" s="20" t="n"/>
      <c r="R166" s="20" t="n"/>
      <c r="S166" s="19">
        <f>IF(A166="","",IF(COUNTIF('Email Log'!B:B,A166)&gt;0,"YES","NO"))</f>
        <v/>
      </c>
    </row>
    <row r="167">
      <c r="A167" s="20" t="n"/>
      <c r="B167" s="20" t="n"/>
      <c r="C167" s="20" t="n"/>
      <c r="D167" s="20" t="n"/>
      <c r="E167" s="20" t="n"/>
      <c r="F167" s="21" t="n"/>
      <c r="G167" s="21" t="n"/>
      <c r="H167" s="20" t="n"/>
      <c r="I167" s="22" t="n"/>
      <c r="J167" s="19">
        <f>IF(OR(F167="",G167=""),"",MAX(0,G167-F167))</f>
        <v/>
      </c>
      <c r="K167" s="23">
        <f>IF(OR(I167="",J167=""),"",I167*J167)</f>
        <v/>
      </c>
      <c r="L167" s="22" t="n"/>
      <c r="M167" s="23">
        <f>IF(K167="","",MAX(0,K167-IF(L167="",0,L167)))</f>
        <v/>
      </c>
      <c r="N167" s="20" t="n"/>
      <c r="O167" s="20" t="n"/>
      <c r="P167" s="20" t="n"/>
      <c r="Q167" s="20" t="n"/>
      <c r="R167" s="20" t="n"/>
      <c r="S167" s="19">
        <f>IF(A167="","",IF(COUNTIF('Email Log'!B:B,A167)&gt;0,"YES","NO"))</f>
        <v/>
      </c>
    </row>
    <row r="168">
      <c r="A168" s="20" t="n"/>
      <c r="B168" s="20" t="n"/>
      <c r="C168" s="20" t="n"/>
      <c r="D168" s="20" t="n"/>
      <c r="E168" s="20" t="n"/>
      <c r="F168" s="21" t="n"/>
      <c r="G168" s="21" t="n"/>
      <c r="H168" s="20" t="n"/>
      <c r="I168" s="22" t="n"/>
      <c r="J168" s="19">
        <f>IF(OR(F168="",G168=""),"",MAX(0,G168-F168))</f>
        <v/>
      </c>
      <c r="K168" s="23">
        <f>IF(OR(I168="",J168=""),"",I168*J168)</f>
        <v/>
      </c>
      <c r="L168" s="22" t="n"/>
      <c r="M168" s="23">
        <f>IF(K168="","",MAX(0,K168-IF(L168="",0,L168)))</f>
        <v/>
      </c>
      <c r="N168" s="20" t="n"/>
      <c r="O168" s="20" t="n"/>
      <c r="P168" s="20" t="n"/>
      <c r="Q168" s="20" t="n"/>
      <c r="R168" s="20" t="n"/>
      <c r="S168" s="19">
        <f>IF(A168="","",IF(COUNTIF('Email Log'!B:B,A168)&gt;0,"YES","NO"))</f>
        <v/>
      </c>
    </row>
    <row r="169">
      <c r="A169" s="20" t="n"/>
      <c r="B169" s="20" t="n"/>
      <c r="C169" s="20" t="n"/>
      <c r="D169" s="20" t="n"/>
      <c r="E169" s="20" t="n"/>
      <c r="F169" s="21" t="n"/>
      <c r="G169" s="21" t="n"/>
      <c r="H169" s="20" t="n"/>
      <c r="I169" s="22" t="n"/>
      <c r="J169" s="19">
        <f>IF(OR(F169="",G169=""),"",MAX(0,G169-F169))</f>
        <v/>
      </c>
      <c r="K169" s="23">
        <f>IF(OR(I169="",J169=""),"",I169*J169)</f>
        <v/>
      </c>
      <c r="L169" s="22" t="n"/>
      <c r="M169" s="23">
        <f>IF(K169="","",MAX(0,K169-IF(L169="",0,L169)))</f>
        <v/>
      </c>
      <c r="N169" s="20" t="n"/>
      <c r="O169" s="20" t="n"/>
      <c r="P169" s="20" t="n"/>
      <c r="Q169" s="20" t="n"/>
      <c r="R169" s="20" t="n"/>
      <c r="S169" s="19">
        <f>IF(A169="","",IF(COUNTIF('Email Log'!B:B,A169)&gt;0,"YES","NO"))</f>
        <v/>
      </c>
    </row>
    <row r="170">
      <c r="A170" s="20" t="n"/>
      <c r="B170" s="20" t="n"/>
      <c r="C170" s="20" t="n"/>
      <c r="D170" s="20" t="n"/>
      <c r="E170" s="20" t="n"/>
      <c r="F170" s="21" t="n"/>
      <c r="G170" s="21" t="n"/>
      <c r="H170" s="20" t="n"/>
      <c r="I170" s="22" t="n"/>
      <c r="J170" s="19">
        <f>IF(OR(F170="",G170=""),"",MAX(0,G170-F170))</f>
        <v/>
      </c>
      <c r="K170" s="23">
        <f>IF(OR(I170="",J170=""),"",I170*J170)</f>
        <v/>
      </c>
      <c r="L170" s="22" t="n"/>
      <c r="M170" s="23">
        <f>IF(K170="","",MAX(0,K170-IF(L170="",0,L170)))</f>
        <v/>
      </c>
      <c r="N170" s="20" t="n"/>
      <c r="O170" s="20" t="n"/>
      <c r="P170" s="20" t="n"/>
      <c r="Q170" s="20" t="n"/>
      <c r="R170" s="20" t="n"/>
      <c r="S170" s="19">
        <f>IF(A170="","",IF(COUNTIF('Email Log'!B:B,A170)&gt;0,"YES","NO"))</f>
        <v/>
      </c>
    </row>
    <row r="171">
      <c r="A171" s="20" t="n"/>
      <c r="B171" s="20" t="n"/>
      <c r="C171" s="20" t="n"/>
      <c r="D171" s="20" t="n"/>
      <c r="E171" s="20" t="n"/>
      <c r="F171" s="21" t="n"/>
      <c r="G171" s="21" t="n"/>
      <c r="H171" s="20" t="n"/>
      <c r="I171" s="22" t="n"/>
      <c r="J171" s="19">
        <f>IF(OR(F171="",G171=""),"",MAX(0,G171-F171))</f>
        <v/>
      </c>
      <c r="K171" s="23">
        <f>IF(OR(I171="",J171=""),"",I171*J171)</f>
        <v/>
      </c>
      <c r="L171" s="22" t="n"/>
      <c r="M171" s="23">
        <f>IF(K171="","",MAX(0,K171-IF(L171="",0,L171)))</f>
        <v/>
      </c>
      <c r="N171" s="20" t="n"/>
      <c r="O171" s="20" t="n"/>
      <c r="P171" s="20" t="n"/>
      <c r="Q171" s="20" t="n"/>
      <c r="R171" s="20" t="n"/>
      <c r="S171" s="19">
        <f>IF(A171="","",IF(COUNTIF('Email Log'!B:B,A171)&gt;0,"YES","NO"))</f>
        <v/>
      </c>
    </row>
    <row r="172">
      <c r="A172" s="20" t="n"/>
      <c r="B172" s="20" t="n"/>
      <c r="C172" s="20" t="n"/>
      <c r="D172" s="20" t="n"/>
      <c r="E172" s="20" t="n"/>
      <c r="F172" s="21" t="n"/>
      <c r="G172" s="21" t="n"/>
      <c r="H172" s="20" t="n"/>
      <c r="I172" s="22" t="n"/>
      <c r="J172" s="19">
        <f>IF(OR(F172="",G172=""),"",MAX(0,G172-F172))</f>
        <v/>
      </c>
      <c r="K172" s="23">
        <f>IF(OR(I172="",J172=""),"",I172*J172)</f>
        <v/>
      </c>
      <c r="L172" s="22" t="n"/>
      <c r="M172" s="23">
        <f>IF(K172="","",MAX(0,K172-IF(L172="",0,L172)))</f>
        <v/>
      </c>
      <c r="N172" s="20" t="n"/>
      <c r="O172" s="20" t="n"/>
      <c r="P172" s="20" t="n"/>
      <c r="Q172" s="20" t="n"/>
      <c r="R172" s="20" t="n"/>
      <c r="S172" s="19">
        <f>IF(A172="","",IF(COUNTIF('Email Log'!B:B,A172)&gt;0,"YES","NO"))</f>
        <v/>
      </c>
    </row>
    <row r="173">
      <c r="A173" s="20" t="n"/>
      <c r="B173" s="20" t="n"/>
      <c r="C173" s="20" t="n"/>
      <c r="D173" s="20" t="n"/>
      <c r="E173" s="20" t="n"/>
      <c r="F173" s="21" t="n"/>
      <c r="G173" s="21" t="n"/>
      <c r="H173" s="20" t="n"/>
      <c r="I173" s="22" t="n"/>
      <c r="J173" s="19">
        <f>IF(OR(F173="",G173=""),"",MAX(0,G173-F173))</f>
        <v/>
      </c>
      <c r="K173" s="23">
        <f>IF(OR(I173="",J173=""),"",I173*J173)</f>
        <v/>
      </c>
      <c r="L173" s="22" t="n"/>
      <c r="M173" s="23">
        <f>IF(K173="","",MAX(0,K173-IF(L173="",0,L173)))</f>
        <v/>
      </c>
      <c r="N173" s="20" t="n"/>
      <c r="O173" s="20" t="n"/>
      <c r="P173" s="20" t="n"/>
      <c r="Q173" s="20" t="n"/>
      <c r="R173" s="20" t="n"/>
      <c r="S173" s="19">
        <f>IF(A173="","",IF(COUNTIF('Email Log'!B:B,A173)&gt;0,"YES","NO"))</f>
        <v/>
      </c>
    </row>
    <row r="174">
      <c r="A174" s="20" t="n"/>
      <c r="B174" s="20" t="n"/>
      <c r="C174" s="20" t="n"/>
      <c r="D174" s="20" t="n"/>
      <c r="E174" s="20" t="n"/>
      <c r="F174" s="21" t="n"/>
      <c r="G174" s="21" t="n"/>
      <c r="H174" s="20" t="n"/>
      <c r="I174" s="22" t="n"/>
      <c r="J174" s="19">
        <f>IF(OR(F174="",G174=""),"",MAX(0,G174-F174))</f>
        <v/>
      </c>
      <c r="K174" s="23">
        <f>IF(OR(I174="",J174=""),"",I174*J174)</f>
        <v/>
      </c>
      <c r="L174" s="22" t="n"/>
      <c r="M174" s="23">
        <f>IF(K174="","",MAX(0,K174-IF(L174="",0,L174)))</f>
        <v/>
      </c>
      <c r="N174" s="20" t="n"/>
      <c r="O174" s="20" t="n"/>
      <c r="P174" s="20" t="n"/>
      <c r="Q174" s="20" t="n"/>
      <c r="R174" s="20" t="n"/>
      <c r="S174" s="19">
        <f>IF(A174="","",IF(COUNTIF('Email Log'!B:B,A174)&gt;0,"YES","NO"))</f>
        <v/>
      </c>
    </row>
    <row r="175">
      <c r="A175" s="20" t="n"/>
      <c r="B175" s="20" t="n"/>
      <c r="C175" s="20" t="n"/>
      <c r="D175" s="20" t="n"/>
      <c r="E175" s="20" t="n"/>
      <c r="F175" s="21" t="n"/>
      <c r="G175" s="21" t="n"/>
      <c r="H175" s="20" t="n"/>
      <c r="I175" s="22" t="n"/>
      <c r="J175" s="19">
        <f>IF(OR(F175="",G175=""),"",MAX(0,G175-F175))</f>
        <v/>
      </c>
      <c r="K175" s="23">
        <f>IF(OR(I175="",J175=""),"",I175*J175)</f>
        <v/>
      </c>
      <c r="L175" s="22" t="n"/>
      <c r="M175" s="23">
        <f>IF(K175="","",MAX(0,K175-IF(L175="",0,L175)))</f>
        <v/>
      </c>
      <c r="N175" s="20" t="n"/>
      <c r="O175" s="20" t="n"/>
      <c r="P175" s="20" t="n"/>
      <c r="Q175" s="20" t="n"/>
      <c r="R175" s="20" t="n"/>
      <c r="S175" s="19">
        <f>IF(A175="","",IF(COUNTIF('Email Log'!B:B,A175)&gt;0,"YES","NO"))</f>
        <v/>
      </c>
    </row>
    <row r="176">
      <c r="A176" s="20" t="n"/>
      <c r="B176" s="20" t="n"/>
      <c r="C176" s="20" t="n"/>
      <c r="D176" s="20" t="n"/>
      <c r="E176" s="20" t="n"/>
      <c r="F176" s="21" t="n"/>
      <c r="G176" s="21" t="n"/>
      <c r="H176" s="20" t="n"/>
      <c r="I176" s="22" t="n"/>
      <c r="J176" s="19">
        <f>IF(OR(F176="",G176=""),"",MAX(0,G176-F176))</f>
        <v/>
      </c>
      <c r="K176" s="23">
        <f>IF(OR(I176="",J176=""),"",I176*J176)</f>
        <v/>
      </c>
      <c r="L176" s="22" t="n"/>
      <c r="M176" s="23">
        <f>IF(K176="","",MAX(0,K176-IF(L176="",0,L176)))</f>
        <v/>
      </c>
      <c r="N176" s="20" t="n"/>
      <c r="O176" s="20" t="n"/>
      <c r="P176" s="20" t="n"/>
      <c r="Q176" s="20" t="n"/>
      <c r="R176" s="20" t="n"/>
      <c r="S176" s="19">
        <f>IF(A176="","",IF(COUNTIF('Email Log'!B:B,A176)&gt;0,"YES","NO"))</f>
        <v/>
      </c>
    </row>
    <row r="177">
      <c r="A177" s="20" t="n"/>
      <c r="B177" s="20" t="n"/>
      <c r="C177" s="20" t="n"/>
      <c r="D177" s="20" t="n"/>
      <c r="E177" s="20" t="n"/>
      <c r="F177" s="21" t="n"/>
      <c r="G177" s="21" t="n"/>
      <c r="H177" s="20" t="n"/>
      <c r="I177" s="22" t="n"/>
      <c r="J177" s="19">
        <f>IF(OR(F177="",G177=""),"",MAX(0,G177-F177))</f>
        <v/>
      </c>
      <c r="K177" s="23">
        <f>IF(OR(I177="",J177=""),"",I177*J177)</f>
        <v/>
      </c>
      <c r="L177" s="22" t="n"/>
      <c r="M177" s="23">
        <f>IF(K177="","",MAX(0,K177-IF(L177="",0,L177)))</f>
        <v/>
      </c>
      <c r="N177" s="20" t="n"/>
      <c r="O177" s="20" t="n"/>
      <c r="P177" s="20" t="n"/>
      <c r="Q177" s="20" t="n"/>
      <c r="R177" s="20" t="n"/>
      <c r="S177" s="19">
        <f>IF(A177="","",IF(COUNTIF('Email Log'!B:B,A177)&gt;0,"YES","NO"))</f>
        <v/>
      </c>
    </row>
    <row r="178">
      <c r="A178" s="20" t="n"/>
      <c r="B178" s="20" t="n"/>
      <c r="C178" s="20" t="n"/>
      <c r="D178" s="20" t="n"/>
      <c r="E178" s="20" t="n"/>
      <c r="F178" s="21" t="n"/>
      <c r="G178" s="21" t="n"/>
      <c r="H178" s="20" t="n"/>
      <c r="I178" s="22" t="n"/>
      <c r="J178" s="19">
        <f>IF(OR(F178="",G178=""),"",MAX(0,G178-F178))</f>
        <v/>
      </c>
      <c r="K178" s="23">
        <f>IF(OR(I178="",J178=""),"",I178*J178)</f>
        <v/>
      </c>
      <c r="L178" s="22" t="n"/>
      <c r="M178" s="23">
        <f>IF(K178="","",MAX(0,K178-IF(L178="",0,L178)))</f>
        <v/>
      </c>
      <c r="N178" s="20" t="n"/>
      <c r="O178" s="20" t="n"/>
      <c r="P178" s="20" t="n"/>
      <c r="Q178" s="20" t="n"/>
      <c r="R178" s="20" t="n"/>
      <c r="S178" s="19">
        <f>IF(A178="","",IF(COUNTIF('Email Log'!B:B,A178)&gt;0,"YES","NO"))</f>
        <v/>
      </c>
    </row>
    <row r="179">
      <c r="A179" s="20" t="n"/>
      <c r="B179" s="20" t="n"/>
      <c r="C179" s="20" t="n"/>
      <c r="D179" s="20" t="n"/>
      <c r="E179" s="20" t="n"/>
      <c r="F179" s="21" t="n"/>
      <c r="G179" s="21" t="n"/>
      <c r="H179" s="20" t="n"/>
      <c r="I179" s="22" t="n"/>
      <c r="J179" s="19">
        <f>IF(OR(F179="",G179=""),"",MAX(0,G179-F179))</f>
        <v/>
      </c>
      <c r="K179" s="23">
        <f>IF(OR(I179="",J179=""),"",I179*J179)</f>
        <v/>
      </c>
      <c r="L179" s="22" t="n"/>
      <c r="M179" s="23">
        <f>IF(K179="","",MAX(0,K179-IF(L179="",0,L179)))</f>
        <v/>
      </c>
      <c r="N179" s="20" t="n"/>
      <c r="O179" s="20" t="n"/>
      <c r="P179" s="20" t="n"/>
      <c r="Q179" s="20" t="n"/>
      <c r="R179" s="20" t="n"/>
      <c r="S179" s="19">
        <f>IF(A179="","",IF(COUNTIF('Email Log'!B:B,A179)&gt;0,"YES","NO"))</f>
        <v/>
      </c>
    </row>
    <row r="180">
      <c r="A180" s="20" t="n"/>
      <c r="B180" s="20" t="n"/>
      <c r="C180" s="20" t="n"/>
      <c r="D180" s="20" t="n"/>
      <c r="E180" s="20" t="n"/>
      <c r="F180" s="21" t="n"/>
      <c r="G180" s="21" t="n"/>
      <c r="H180" s="20" t="n"/>
      <c r="I180" s="22" t="n"/>
      <c r="J180" s="19">
        <f>IF(OR(F180="",G180=""),"",MAX(0,G180-F180))</f>
        <v/>
      </c>
      <c r="K180" s="23">
        <f>IF(OR(I180="",J180=""),"",I180*J180)</f>
        <v/>
      </c>
      <c r="L180" s="22" t="n"/>
      <c r="M180" s="23">
        <f>IF(K180="","",MAX(0,K180-IF(L180="",0,L180)))</f>
        <v/>
      </c>
      <c r="N180" s="20" t="n"/>
      <c r="O180" s="20" t="n"/>
      <c r="P180" s="20" t="n"/>
      <c r="Q180" s="20" t="n"/>
      <c r="R180" s="20" t="n"/>
      <c r="S180" s="19">
        <f>IF(A180="","",IF(COUNTIF('Email Log'!B:B,A180)&gt;0,"YES","NO"))</f>
        <v/>
      </c>
    </row>
    <row r="181">
      <c r="A181" s="20" t="n"/>
      <c r="B181" s="20" t="n"/>
      <c r="C181" s="20" t="n"/>
      <c r="D181" s="20" t="n"/>
      <c r="E181" s="20" t="n"/>
      <c r="F181" s="21" t="n"/>
      <c r="G181" s="21" t="n"/>
      <c r="H181" s="20" t="n"/>
      <c r="I181" s="22" t="n"/>
      <c r="J181" s="19">
        <f>IF(OR(F181="",G181=""),"",MAX(0,G181-F181))</f>
        <v/>
      </c>
      <c r="K181" s="23">
        <f>IF(OR(I181="",J181=""),"",I181*J181)</f>
        <v/>
      </c>
      <c r="L181" s="22" t="n"/>
      <c r="M181" s="23">
        <f>IF(K181="","",MAX(0,K181-IF(L181="",0,L181)))</f>
        <v/>
      </c>
      <c r="N181" s="20" t="n"/>
      <c r="O181" s="20" t="n"/>
      <c r="P181" s="20" t="n"/>
      <c r="Q181" s="20" t="n"/>
      <c r="R181" s="20" t="n"/>
      <c r="S181" s="19">
        <f>IF(A181="","",IF(COUNTIF('Email Log'!B:B,A181)&gt;0,"YES","NO"))</f>
        <v/>
      </c>
    </row>
    <row r="182">
      <c r="A182" s="20" t="n"/>
      <c r="B182" s="20" t="n"/>
      <c r="C182" s="20" t="n"/>
      <c r="D182" s="20" t="n"/>
      <c r="E182" s="20" t="n"/>
      <c r="F182" s="21" t="n"/>
      <c r="G182" s="21" t="n"/>
      <c r="H182" s="20" t="n"/>
      <c r="I182" s="22" t="n"/>
      <c r="J182" s="19">
        <f>IF(OR(F182="",G182=""),"",MAX(0,G182-F182))</f>
        <v/>
      </c>
      <c r="K182" s="23">
        <f>IF(OR(I182="",J182=""),"",I182*J182)</f>
        <v/>
      </c>
      <c r="L182" s="22" t="n"/>
      <c r="M182" s="23">
        <f>IF(K182="","",MAX(0,K182-IF(L182="",0,L182)))</f>
        <v/>
      </c>
      <c r="N182" s="20" t="n"/>
      <c r="O182" s="20" t="n"/>
      <c r="P182" s="20" t="n"/>
      <c r="Q182" s="20" t="n"/>
      <c r="R182" s="20" t="n"/>
      <c r="S182" s="19">
        <f>IF(A182="","",IF(COUNTIF('Email Log'!B:B,A182)&gt;0,"YES","NO"))</f>
        <v/>
      </c>
    </row>
    <row r="183">
      <c r="A183" s="20" t="n"/>
      <c r="B183" s="20" t="n"/>
      <c r="C183" s="20" t="n"/>
      <c r="D183" s="20" t="n"/>
      <c r="E183" s="20" t="n"/>
      <c r="F183" s="21" t="n"/>
      <c r="G183" s="21" t="n"/>
      <c r="H183" s="20" t="n"/>
      <c r="I183" s="22" t="n"/>
      <c r="J183" s="19">
        <f>IF(OR(F183="",G183=""),"",MAX(0,G183-F183))</f>
        <v/>
      </c>
      <c r="K183" s="23">
        <f>IF(OR(I183="",J183=""),"",I183*J183)</f>
        <v/>
      </c>
      <c r="L183" s="22" t="n"/>
      <c r="M183" s="23">
        <f>IF(K183="","",MAX(0,K183-IF(L183="",0,L183)))</f>
        <v/>
      </c>
      <c r="N183" s="20" t="n"/>
      <c r="O183" s="20" t="n"/>
      <c r="P183" s="20" t="n"/>
      <c r="Q183" s="20" t="n"/>
      <c r="R183" s="20" t="n"/>
      <c r="S183" s="19">
        <f>IF(A183="","",IF(COUNTIF('Email Log'!B:B,A183)&gt;0,"YES","NO"))</f>
        <v/>
      </c>
    </row>
    <row r="184">
      <c r="A184" s="20" t="n"/>
      <c r="B184" s="20" t="n"/>
      <c r="C184" s="20" t="n"/>
      <c r="D184" s="20" t="n"/>
      <c r="E184" s="20" t="n"/>
      <c r="F184" s="21" t="n"/>
      <c r="G184" s="21" t="n"/>
      <c r="H184" s="20" t="n"/>
      <c r="I184" s="22" t="n"/>
      <c r="J184" s="19">
        <f>IF(OR(F184="",G184=""),"",MAX(0,G184-F184))</f>
        <v/>
      </c>
      <c r="K184" s="23">
        <f>IF(OR(I184="",J184=""),"",I184*J184)</f>
        <v/>
      </c>
      <c r="L184" s="22" t="n"/>
      <c r="M184" s="23">
        <f>IF(K184="","",MAX(0,K184-IF(L184="",0,L184)))</f>
        <v/>
      </c>
      <c r="N184" s="20" t="n"/>
      <c r="O184" s="20" t="n"/>
      <c r="P184" s="20" t="n"/>
      <c r="Q184" s="20" t="n"/>
      <c r="R184" s="20" t="n"/>
      <c r="S184" s="19">
        <f>IF(A184="","",IF(COUNTIF('Email Log'!B:B,A184)&gt;0,"YES","NO"))</f>
        <v/>
      </c>
    </row>
    <row r="185">
      <c r="A185" s="20" t="n"/>
      <c r="B185" s="20" t="n"/>
      <c r="C185" s="20" t="n"/>
      <c r="D185" s="20" t="n"/>
      <c r="E185" s="20" t="n"/>
      <c r="F185" s="21" t="n"/>
      <c r="G185" s="21" t="n"/>
      <c r="H185" s="20" t="n"/>
      <c r="I185" s="22" t="n"/>
      <c r="J185" s="19">
        <f>IF(OR(F185="",G185=""),"",MAX(0,G185-F185))</f>
        <v/>
      </c>
      <c r="K185" s="23">
        <f>IF(OR(I185="",J185=""),"",I185*J185)</f>
        <v/>
      </c>
      <c r="L185" s="22" t="n"/>
      <c r="M185" s="23">
        <f>IF(K185="","",MAX(0,K185-IF(L185="",0,L185)))</f>
        <v/>
      </c>
      <c r="N185" s="20" t="n"/>
      <c r="O185" s="20" t="n"/>
      <c r="P185" s="20" t="n"/>
      <c r="Q185" s="20" t="n"/>
      <c r="R185" s="20" t="n"/>
      <c r="S185" s="19">
        <f>IF(A185="","",IF(COUNTIF('Email Log'!B:B,A185)&gt;0,"YES","NO"))</f>
        <v/>
      </c>
    </row>
    <row r="186">
      <c r="A186" s="20" t="n"/>
      <c r="B186" s="20" t="n"/>
      <c r="C186" s="20" t="n"/>
      <c r="D186" s="20" t="n"/>
      <c r="E186" s="20" t="n"/>
      <c r="F186" s="21" t="n"/>
      <c r="G186" s="21" t="n"/>
      <c r="H186" s="20" t="n"/>
      <c r="I186" s="22" t="n"/>
      <c r="J186" s="19">
        <f>IF(OR(F186="",G186=""),"",MAX(0,G186-F186))</f>
        <v/>
      </c>
      <c r="K186" s="23">
        <f>IF(OR(I186="",J186=""),"",I186*J186)</f>
        <v/>
      </c>
      <c r="L186" s="22" t="n"/>
      <c r="M186" s="23">
        <f>IF(K186="","",MAX(0,K186-IF(L186="",0,L186)))</f>
        <v/>
      </c>
      <c r="N186" s="20" t="n"/>
      <c r="O186" s="20" t="n"/>
      <c r="P186" s="20" t="n"/>
      <c r="Q186" s="20" t="n"/>
      <c r="R186" s="20" t="n"/>
      <c r="S186" s="19">
        <f>IF(A186="","",IF(COUNTIF('Email Log'!B:B,A186)&gt;0,"YES","NO"))</f>
        <v/>
      </c>
    </row>
    <row r="187">
      <c r="A187" s="20" t="n"/>
      <c r="B187" s="20" t="n"/>
      <c r="C187" s="20" t="n"/>
      <c r="D187" s="20" t="n"/>
      <c r="E187" s="20" t="n"/>
      <c r="F187" s="21" t="n"/>
      <c r="G187" s="21" t="n"/>
      <c r="H187" s="20" t="n"/>
      <c r="I187" s="22" t="n"/>
      <c r="J187" s="19">
        <f>IF(OR(F187="",G187=""),"",MAX(0,G187-F187))</f>
        <v/>
      </c>
      <c r="K187" s="23">
        <f>IF(OR(I187="",J187=""),"",I187*J187)</f>
        <v/>
      </c>
      <c r="L187" s="22" t="n"/>
      <c r="M187" s="23">
        <f>IF(K187="","",MAX(0,K187-IF(L187="",0,L187)))</f>
        <v/>
      </c>
      <c r="N187" s="20" t="n"/>
      <c r="O187" s="20" t="n"/>
      <c r="P187" s="20" t="n"/>
      <c r="Q187" s="20" t="n"/>
      <c r="R187" s="20" t="n"/>
      <c r="S187" s="19">
        <f>IF(A187="","",IF(COUNTIF('Email Log'!B:B,A187)&gt;0,"YES","NO"))</f>
        <v/>
      </c>
    </row>
    <row r="188">
      <c r="A188" s="20" t="n"/>
      <c r="B188" s="20" t="n"/>
      <c r="C188" s="20" t="n"/>
      <c r="D188" s="20" t="n"/>
      <c r="E188" s="20" t="n"/>
      <c r="F188" s="21" t="n"/>
      <c r="G188" s="21" t="n"/>
      <c r="H188" s="20" t="n"/>
      <c r="I188" s="22" t="n"/>
      <c r="J188" s="19">
        <f>IF(OR(F188="",G188=""),"",MAX(0,G188-F188))</f>
        <v/>
      </c>
      <c r="K188" s="23">
        <f>IF(OR(I188="",J188=""),"",I188*J188)</f>
        <v/>
      </c>
      <c r="L188" s="22" t="n"/>
      <c r="M188" s="23">
        <f>IF(K188="","",MAX(0,K188-IF(L188="",0,L188)))</f>
        <v/>
      </c>
      <c r="N188" s="20" t="n"/>
      <c r="O188" s="20" t="n"/>
      <c r="P188" s="20" t="n"/>
      <c r="Q188" s="20" t="n"/>
      <c r="R188" s="20" t="n"/>
      <c r="S188" s="19">
        <f>IF(A188="","",IF(COUNTIF('Email Log'!B:B,A188)&gt;0,"YES","NO"))</f>
        <v/>
      </c>
    </row>
    <row r="189">
      <c r="A189" s="20" t="n"/>
      <c r="B189" s="20" t="n"/>
      <c r="C189" s="20" t="n"/>
      <c r="D189" s="20" t="n"/>
      <c r="E189" s="20" t="n"/>
      <c r="F189" s="21" t="n"/>
      <c r="G189" s="21" t="n"/>
      <c r="H189" s="20" t="n"/>
      <c r="I189" s="22" t="n"/>
      <c r="J189" s="19">
        <f>IF(OR(F189="",G189=""),"",MAX(0,G189-F189))</f>
        <v/>
      </c>
      <c r="K189" s="23">
        <f>IF(OR(I189="",J189=""),"",I189*J189)</f>
        <v/>
      </c>
      <c r="L189" s="22" t="n"/>
      <c r="M189" s="23">
        <f>IF(K189="","",MAX(0,K189-IF(L189="",0,L189)))</f>
        <v/>
      </c>
      <c r="N189" s="20" t="n"/>
      <c r="O189" s="20" t="n"/>
      <c r="P189" s="20" t="n"/>
      <c r="Q189" s="20" t="n"/>
      <c r="R189" s="20" t="n"/>
      <c r="S189" s="19">
        <f>IF(A189="","",IF(COUNTIF('Email Log'!B:B,A189)&gt;0,"YES","NO"))</f>
        <v/>
      </c>
    </row>
    <row r="190">
      <c r="A190" s="20" t="n"/>
      <c r="B190" s="20" t="n"/>
      <c r="C190" s="20" t="n"/>
      <c r="D190" s="20" t="n"/>
      <c r="E190" s="20" t="n"/>
      <c r="F190" s="21" t="n"/>
      <c r="G190" s="21" t="n"/>
      <c r="H190" s="20" t="n"/>
      <c r="I190" s="22" t="n"/>
      <c r="J190" s="19">
        <f>IF(OR(F190="",G190=""),"",MAX(0,G190-F190))</f>
        <v/>
      </c>
      <c r="K190" s="23">
        <f>IF(OR(I190="",J190=""),"",I190*J190)</f>
        <v/>
      </c>
      <c r="L190" s="22" t="n"/>
      <c r="M190" s="23">
        <f>IF(K190="","",MAX(0,K190-IF(L190="",0,L190)))</f>
        <v/>
      </c>
      <c r="N190" s="20" t="n"/>
      <c r="O190" s="20" t="n"/>
      <c r="P190" s="20" t="n"/>
      <c r="Q190" s="20" t="n"/>
      <c r="R190" s="20" t="n"/>
      <c r="S190" s="19">
        <f>IF(A190="","",IF(COUNTIF('Email Log'!B:B,A190)&gt;0,"YES","NO"))</f>
        <v/>
      </c>
    </row>
    <row r="191">
      <c r="A191" s="20" t="n"/>
      <c r="B191" s="20" t="n"/>
      <c r="C191" s="20" t="n"/>
      <c r="D191" s="20" t="n"/>
      <c r="E191" s="20" t="n"/>
      <c r="F191" s="21" t="n"/>
      <c r="G191" s="21" t="n"/>
      <c r="H191" s="20" t="n"/>
      <c r="I191" s="22" t="n"/>
      <c r="J191" s="19">
        <f>IF(OR(F191="",G191=""),"",MAX(0,G191-F191))</f>
        <v/>
      </c>
      <c r="K191" s="23">
        <f>IF(OR(I191="",J191=""),"",I191*J191)</f>
        <v/>
      </c>
      <c r="L191" s="22" t="n"/>
      <c r="M191" s="23">
        <f>IF(K191="","",MAX(0,K191-IF(L191="",0,L191)))</f>
        <v/>
      </c>
      <c r="N191" s="20" t="n"/>
      <c r="O191" s="20" t="n"/>
      <c r="P191" s="20" t="n"/>
      <c r="Q191" s="20" t="n"/>
      <c r="R191" s="20" t="n"/>
      <c r="S191" s="19">
        <f>IF(A191="","",IF(COUNTIF('Email Log'!B:B,A191)&gt;0,"YES","NO"))</f>
        <v/>
      </c>
    </row>
    <row r="192">
      <c r="A192" s="20" t="n"/>
      <c r="B192" s="20" t="n"/>
      <c r="C192" s="20" t="n"/>
      <c r="D192" s="20" t="n"/>
      <c r="E192" s="20" t="n"/>
      <c r="F192" s="21" t="n"/>
      <c r="G192" s="21" t="n"/>
      <c r="H192" s="20" t="n"/>
      <c r="I192" s="22" t="n"/>
      <c r="J192" s="19">
        <f>IF(OR(F192="",G192=""),"",MAX(0,G192-F192))</f>
        <v/>
      </c>
      <c r="K192" s="23">
        <f>IF(OR(I192="",J192=""),"",I192*J192)</f>
        <v/>
      </c>
      <c r="L192" s="22" t="n"/>
      <c r="M192" s="23">
        <f>IF(K192="","",MAX(0,K192-IF(L192="",0,L192)))</f>
        <v/>
      </c>
      <c r="N192" s="20" t="n"/>
      <c r="O192" s="20" t="n"/>
      <c r="P192" s="20" t="n"/>
      <c r="Q192" s="20" t="n"/>
      <c r="R192" s="20" t="n"/>
      <c r="S192" s="19">
        <f>IF(A192="","",IF(COUNTIF('Email Log'!B:B,A192)&gt;0,"YES","NO"))</f>
        <v/>
      </c>
    </row>
    <row r="193">
      <c r="A193" s="20" t="n"/>
      <c r="B193" s="20" t="n"/>
      <c r="C193" s="20" t="n"/>
      <c r="D193" s="20" t="n"/>
      <c r="E193" s="20" t="n"/>
      <c r="F193" s="21" t="n"/>
      <c r="G193" s="21" t="n"/>
      <c r="H193" s="20" t="n"/>
      <c r="I193" s="22" t="n"/>
      <c r="J193" s="19">
        <f>IF(OR(F193="",G193=""),"",MAX(0,G193-F193))</f>
        <v/>
      </c>
      <c r="K193" s="23">
        <f>IF(OR(I193="",J193=""),"",I193*J193)</f>
        <v/>
      </c>
      <c r="L193" s="22" t="n"/>
      <c r="M193" s="23">
        <f>IF(K193="","",MAX(0,K193-IF(L193="",0,L193)))</f>
        <v/>
      </c>
      <c r="N193" s="20" t="n"/>
      <c r="O193" s="20" t="n"/>
      <c r="P193" s="20" t="n"/>
      <c r="Q193" s="20" t="n"/>
      <c r="R193" s="20" t="n"/>
      <c r="S193" s="19">
        <f>IF(A193="","",IF(COUNTIF('Email Log'!B:B,A193)&gt;0,"YES","NO"))</f>
        <v/>
      </c>
    </row>
    <row r="194">
      <c r="A194" s="20" t="n"/>
      <c r="B194" s="20" t="n"/>
      <c r="C194" s="20" t="n"/>
      <c r="D194" s="20" t="n"/>
      <c r="E194" s="20" t="n"/>
      <c r="F194" s="21" t="n"/>
      <c r="G194" s="21" t="n"/>
      <c r="H194" s="20" t="n"/>
      <c r="I194" s="22" t="n"/>
      <c r="J194" s="19">
        <f>IF(OR(F194="",G194=""),"",MAX(0,G194-F194))</f>
        <v/>
      </c>
      <c r="K194" s="23">
        <f>IF(OR(I194="",J194=""),"",I194*J194)</f>
        <v/>
      </c>
      <c r="L194" s="22" t="n"/>
      <c r="M194" s="23">
        <f>IF(K194="","",MAX(0,K194-IF(L194="",0,L194)))</f>
        <v/>
      </c>
      <c r="N194" s="20" t="n"/>
      <c r="O194" s="20" t="n"/>
      <c r="P194" s="20" t="n"/>
      <c r="Q194" s="20" t="n"/>
      <c r="R194" s="20" t="n"/>
      <c r="S194" s="19">
        <f>IF(A194="","",IF(COUNTIF('Email Log'!B:B,A194)&gt;0,"YES","NO"))</f>
        <v/>
      </c>
    </row>
    <row r="195">
      <c r="A195" s="20" t="n"/>
      <c r="B195" s="20" t="n"/>
      <c r="C195" s="20" t="n"/>
      <c r="D195" s="20" t="n"/>
      <c r="E195" s="20" t="n"/>
      <c r="F195" s="21" t="n"/>
      <c r="G195" s="21" t="n"/>
      <c r="H195" s="20" t="n"/>
      <c r="I195" s="22" t="n"/>
      <c r="J195" s="19">
        <f>IF(OR(F195="",G195=""),"",MAX(0,G195-F195))</f>
        <v/>
      </c>
      <c r="K195" s="23">
        <f>IF(OR(I195="",J195=""),"",I195*J195)</f>
        <v/>
      </c>
      <c r="L195" s="22" t="n"/>
      <c r="M195" s="23">
        <f>IF(K195="","",MAX(0,K195-IF(L195="",0,L195)))</f>
        <v/>
      </c>
      <c r="N195" s="20" t="n"/>
      <c r="O195" s="20" t="n"/>
      <c r="P195" s="20" t="n"/>
      <c r="Q195" s="20" t="n"/>
      <c r="R195" s="20" t="n"/>
      <c r="S195" s="19">
        <f>IF(A195="","",IF(COUNTIF('Email Log'!B:B,A195)&gt;0,"YES","NO"))</f>
        <v/>
      </c>
    </row>
    <row r="196">
      <c r="A196" s="20" t="n"/>
      <c r="B196" s="20" t="n"/>
      <c r="C196" s="20" t="n"/>
      <c r="D196" s="20" t="n"/>
      <c r="E196" s="20" t="n"/>
      <c r="F196" s="21" t="n"/>
      <c r="G196" s="21" t="n"/>
      <c r="H196" s="20" t="n"/>
      <c r="I196" s="22" t="n"/>
      <c r="J196" s="19">
        <f>IF(OR(F196="",G196=""),"",MAX(0,G196-F196))</f>
        <v/>
      </c>
      <c r="K196" s="23">
        <f>IF(OR(I196="",J196=""),"",I196*J196)</f>
        <v/>
      </c>
      <c r="L196" s="22" t="n"/>
      <c r="M196" s="23">
        <f>IF(K196="","",MAX(0,K196-IF(L196="",0,L196)))</f>
        <v/>
      </c>
      <c r="N196" s="20" t="n"/>
      <c r="O196" s="20" t="n"/>
      <c r="P196" s="20" t="n"/>
      <c r="Q196" s="20" t="n"/>
      <c r="R196" s="20" t="n"/>
      <c r="S196" s="19">
        <f>IF(A196="","",IF(COUNTIF('Email Log'!B:B,A196)&gt;0,"YES","NO"))</f>
        <v/>
      </c>
    </row>
    <row r="197">
      <c r="A197" s="20" t="n"/>
      <c r="B197" s="20" t="n"/>
      <c r="C197" s="20" t="n"/>
      <c r="D197" s="20" t="n"/>
      <c r="E197" s="20" t="n"/>
      <c r="F197" s="21" t="n"/>
      <c r="G197" s="21" t="n"/>
      <c r="H197" s="20" t="n"/>
      <c r="I197" s="22" t="n"/>
      <c r="J197" s="19">
        <f>IF(OR(F197="",G197=""),"",MAX(0,G197-F197))</f>
        <v/>
      </c>
      <c r="K197" s="23">
        <f>IF(OR(I197="",J197=""),"",I197*J197)</f>
        <v/>
      </c>
      <c r="L197" s="22" t="n"/>
      <c r="M197" s="23">
        <f>IF(K197="","",MAX(0,K197-IF(L197="",0,L197)))</f>
        <v/>
      </c>
      <c r="N197" s="20" t="n"/>
      <c r="O197" s="20" t="n"/>
      <c r="P197" s="20" t="n"/>
      <c r="Q197" s="20" t="n"/>
      <c r="R197" s="20" t="n"/>
      <c r="S197" s="19">
        <f>IF(A197="","",IF(COUNTIF('Email Log'!B:B,A197)&gt;0,"YES","NO"))</f>
        <v/>
      </c>
    </row>
    <row r="198">
      <c r="A198" s="20" t="n"/>
      <c r="B198" s="20" t="n"/>
      <c r="C198" s="20" t="n"/>
      <c r="D198" s="20" t="n"/>
      <c r="E198" s="20" t="n"/>
      <c r="F198" s="21" t="n"/>
      <c r="G198" s="21" t="n"/>
      <c r="H198" s="20" t="n"/>
      <c r="I198" s="22" t="n"/>
      <c r="J198" s="19">
        <f>IF(OR(F198="",G198=""),"",MAX(0,G198-F198))</f>
        <v/>
      </c>
      <c r="K198" s="23">
        <f>IF(OR(I198="",J198=""),"",I198*J198)</f>
        <v/>
      </c>
      <c r="L198" s="22" t="n"/>
      <c r="M198" s="23">
        <f>IF(K198="","",MAX(0,K198-IF(L198="",0,L198)))</f>
        <v/>
      </c>
      <c r="N198" s="20" t="n"/>
      <c r="O198" s="20" t="n"/>
      <c r="P198" s="20" t="n"/>
      <c r="Q198" s="20" t="n"/>
      <c r="R198" s="20" t="n"/>
      <c r="S198" s="19">
        <f>IF(A198="","",IF(COUNTIF('Email Log'!B:B,A198)&gt;0,"YES","NO"))</f>
        <v/>
      </c>
    </row>
    <row r="199">
      <c r="A199" s="20" t="n"/>
      <c r="B199" s="20" t="n"/>
      <c r="C199" s="20" t="n"/>
      <c r="D199" s="20" t="n"/>
      <c r="E199" s="20" t="n"/>
      <c r="F199" s="21" t="n"/>
      <c r="G199" s="21" t="n"/>
      <c r="H199" s="20" t="n"/>
      <c r="I199" s="22" t="n"/>
      <c r="J199" s="19">
        <f>IF(OR(F199="",G199=""),"",MAX(0,G199-F199))</f>
        <v/>
      </c>
      <c r="K199" s="23">
        <f>IF(OR(I199="",J199=""),"",I199*J199)</f>
        <v/>
      </c>
      <c r="L199" s="22" t="n"/>
      <c r="M199" s="23">
        <f>IF(K199="","",MAX(0,K199-IF(L199="",0,L199)))</f>
        <v/>
      </c>
      <c r="N199" s="20" t="n"/>
      <c r="O199" s="20" t="n"/>
      <c r="P199" s="20" t="n"/>
      <c r="Q199" s="20" t="n"/>
      <c r="R199" s="20" t="n"/>
      <c r="S199" s="19">
        <f>IF(A199="","",IF(COUNTIF('Email Log'!B:B,A199)&gt;0,"YES","NO"))</f>
        <v/>
      </c>
    </row>
    <row r="200">
      <c r="A200" s="20" t="n"/>
      <c r="B200" s="20" t="n"/>
      <c r="C200" s="20" t="n"/>
      <c r="D200" s="20" t="n"/>
      <c r="E200" s="20" t="n"/>
      <c r="F200" s="21" t="n"/>
      <c r="G200" s="21" t="n"/>
      <c r="H200" s="20" t="n"/>
      <c r="I200" s="22" t="n"/>
      <c r="J200" s="19">
        <f>IF(OR(F200="",G200=""),"",MAX(0,G200-F200))</f>
        <v/>
      </c>
      <c r="K200" s="23">
        <f>IF(OR(I200="",J200=""),"",I200*J200)</f>
        <v/>
      </c>
      <c r="L200" s="22" t="n"/>
      <c r="M200" s="23">
        <f>IF(K200="","",MAX(0,K200-IF(L200="",0,L200)))</f>
        <v/>
      </c>
      <c r="N200" s="20" t="n"/>
      <c r="O200" s="20" t="n"/>
      <c r="P200" s="20" t="n"/>
      <c r="Q200" s="20" t="n"/>
      <c r="R200" s="20" t="n"/>
      <c r="S200" s="19">
        <f>IF(A200="","",IF(COUNTIF('Email Log'!B:B,A200)&gt;0,"YES","NO"))</f>
        <v/>
      </c>
    </row>
    <row r="201">
      <c r="A201" s="20" t="n"/>
      <c r="B201" s="20" t="n"/>
      <c r="C201" s="20" t="n"/>
      <c r="D201" s="20" t="n"/>
      <c r="E201" s="20" t="n"/>
      <c r="F201" s="21" t="n"/>
      <c r="G201" s="21" t="n"/>
      <c r="H201" s="20" t="n"/>
      <c r="I201" s="22" t="n"/>
      <c r="J201" s="19">
        <f>IF(OR(F201="",G201=""),"",MAX(0,G201-F201))</f>
        <v/>
      </c>
      <c r="K201" s="23">
        <f>IF(OR(I201="",J201=""),"",I201*J201)</f>
        <v/>
      </c>
      <c r="L201" s="22" t="n"/>
      <c r="M201" s="23">
        <f>IF(K201="","",MAX(0,K201-IF(L201="",0,L201)))</f>
        <v/>
      </c>
      <c r="N201" s="20" t="n"/>
      <c r="O201" s="20" t="n"/>
      <c r="P201" s="20" t="n"/>
      <c r="Q201" s="20" t="n"/>
      <c r="R201" s="20" t="n"/>
      <c r="S201" s="19">
        <f>IF(A201="","",IF(COUNTIF('Email Log'!B:B,A201)&gt;0,"YES","NO"))</f>
        <v/>
      </c>
    </row>
    <row r="202">
      <c r="A202" s="20" t="n"/>
      <c r="B202" s="20" t="n"/>
      <c r="C202" s="20" t="n"/>
      <c r="D202" s="20" t="n"/>
      <c r="E202" s="20" t="n"/>
      <c r="F202" s="21" t="n"/>
      <c r="G202" s="21" t="n"/>
      <c r="H202" s="20" t="n"/>
      <c r="I202" s="22" t="n"/>
      <c r="J202" s="19">
        <f>IF(OR(F202="",G202=""),"",MAX(0,G202-F202))</f>
        <v/>
      </c>
      <c r="K202" s="23">
        <f>IF(OR(I202="",J202=""),"",I202*J202)</f>
        <v/>
      </c>
      <c r="L202" s="22" t="n"/>
      <c r="M202" s="23">
        <f>IF(K202="","",MAX(0,K202-IF(L202="",0,L202)))</f>
        <v/>
      </c>
      <c r="N202" s="20" t="n"/>
      <c r="O202" s="20" t="n"/>
      <c r="P202" s="20" t="n"/>
      <c r="Q202" s="20" t="n"/>
      <c r="R202" s="20" t="n"/>
      <c r="S202" s="19">
        <f>IF(A202="","",IF(COUNTIF('Email Log'!B:B,A202)&gt;0,"YES","NO"))</f>
        <v/>
      </c>
    </row>
    <row r="203">
      <c r="A203" s="20" t="n"/>
      <c r="B203" s="20" t="n"/>
      <c r="C203" s="20" t="n"/>
      <c r="D203" s="20" t="n"/>
      <c r="E203" s="20" t="n"/>
      <c r="F203" s="21" t="n"/>
      <c r="G203" s="21" t="n"/>
      <c r="H203" s="20" t="n"/>
      <c r="I203" s="22" t="n"/>
      <c r="J203" s="19">
        <f>IF(OR(F203="",G203=""),"",MAX(0,G203-F203))</f>
        <v/>
      </c>
      <c r="K203" s="23">
        <f>IF(OR(I203="",J203=""),"",I203*J203)</f>
        <v/>
      </c>
      <c r="L203" s="22" t="n"/>
      <c r="M203" s="23">
        <f>IF(K203="","",MAX(0,K203-IF(L203="",0,L203)))</f>
        <v/>
      </c>
      <c r="N203" s="20" t="n"/>
      <c r="O203" s="20" t="n"/>
      <c r="P203" s="20" t="n"/>
      <c r="Q203" s="20" t="n"/>
      <c r="R203" s="20" t="n"/>
      <c r="S203" s="19">
        <f>IF(A203="","",IF(COUNTIF('Email Log'!B:B,A203)&gt;0,"YES","NO"))</f>
        <v/>
      </c>
    </row>
    <row r="204">
      <c r="A204" s="20" t="n"/>
      <c r="B204" s="20" t="n"/>
      <c r="C204" s="20" t="n"/>
      <c r="D204" s="20" t="n"/>
      <c r="E204" s="20" t="n"/>
      <c r="F204" s="21" t="n"/>
      <c r="G204" s="21" t="n"/>
      <c r="H204" s="20" t="n"/>
      <c r="I204" s="22" t="n"/>
      <c r="J204" s="19">
        <f>IF(OR(F204="",G204=""),"",MAX(0,G204-F204))</f>
        <v/>
      </c>
      <c r="K204" s="23">
        <f>IF(OR(I204="",J204=""),"",I204*J204)</f>
        <v/>
      </c>
      <c r="L204" s="22" t="n"/>
      <c r="M204" s="23">
        <f>IF(K204="","",MAX(0,K204-IF(L204="",0,L204)))</f>
        <v/>
      </c>
      <c r="N204" s="20" t="n"/>
      <c r="O204" s="20" t="n"/>
      <c r="P204" s="20" t="n"/>
      <c r="Q204" s="20" t="n"/>
      <c r="R204" s="20" t="n"/>
      <c r="S204" s="19">
        <f>IF(A204="","",IF(COUNTIF('Email Log'!B:B,A204)&gt;0,"YES","NO"))</f>
        <v/>
      </c>
    </row>
    <row r="205">
      <c r="A205" s="20" t="n"/>
      <c r="B205" s="20" t="n"/>
      <c r="C205" s="20" t="n"/>
      <c r="D205" s="20" t="n"/>
      <c r="E205" s="20" t="n"/>
      <c r="F205" s="21" t="n"/>
      <c r="G205" s="21" t="n"/>
      <c r="H205" s="20" t="n"/>
      <c r="I205" s="22" t="n"/>
      <c r="J205" s="19">
        <f>IF(OR(F205="",G205=""),"",MAX(0,G205-F205))</f>
        <v/>
      </c>
      <c r="K205" s="23">
        <f>IF(OR(I205="",J205=""),"",I205*J205)</f>
        <v/>
      </c>
      <c r="L205" s="22" t="n"/>
      <c r="M205" s="23">
        <f>IF(K205="","",MAX(0,K205-IF(L205="",0,L205)))</f>
        <v/>
      </c>
      <c r="N205" s="20" t="n"/>
      <c r="O205" s="20" t="n"/>
      <c r="P205" s="20" t="n"/>
      <c r="Q205" s="20" t="n"/>
      <c r="R205" s="20" t="n"/>
      <c r="S205" s="19">
        <f>IF(A205="","",IF(COUNTIF('Email Log'!B:B,A205)&gt;0,"YES","NO"))</f>
        <v/>
      </c>
    </row>
    <row r="206">
      <c r="A206" s="20" t="n"/>
      <c r="B206" s="20" t="n"/>
      <c r="C206" s="20" t="n"/>
      <c r="D206" s="20" t="n"/>
      <c r="E206" s="20" t="n"/>
      <c r="F206" s="21" t="n"/>
      <c r="G206" s="21" t="n"/>
      <c r="H206" s="20" t="n"/>
      <c r="I206" s="22" t="n"/>
      <c r="J206" s="19">
        <f>IF(OR(F206="",G206=""),"",MAX(0,G206-F206))</f>
        <v/>
      </c>
      <c r="K206" s="23">
        <f>IF(OR(I206="",J206=""),"",I206*J206)</f>
        <v/>
      </c>
      <c r="L206" s="22" t="n"/>
      <c r="M206" s="23">
        <f>IF(K206="","",MAX(0,K206-IF(L206="",0,L206)))</f>
        <v/>
      </c>
      <c r="N206" s="20" t="n"/>
      <c r="O206" s="20" t="n"/>
      <c r="P206" s="20" t="n"/>
      <c r="Q206" s="20" t="n"/>
      <c r="R206" s="20" t="n"/>
      <c r="S206" s="19">
        <f>IF(A206="","",IF(COUNTIF('Email Log'!B:B,A206)&gt;0,"YES","NO"))</f>
        <v/>
      </c>
    </row>
    <row r="207">
      <c r="A207" s="20" t="n"/>
      <c r="B207" s="20" t="n"/>
      <c r="C207" s="20" t="n"/>
      <c r="D207" s="20" t="n"/>
      <c r="E207" s="20" t="n"/>
      <c r="F207" s="21" t="n"/>
      <c r="G207" s="21" t="n"/>
      <c r="H207" s="20" t="n"/>
      <c r="I207" s="22" t="n"/>
      <c r="J207" s="19">
        <f>IF(OR(F207="",G207=""),"",MAX(0,G207-F207))</f>
        <v/>
      </c>
      <c r="K207" s="23">
        <f>IF(OR(I207="",J207=""),"",I207*J207)</f>
        <v/>
      </c>
      <c r="L207" s="22" t="n"/>
      <c r="M207" s="23">
        <f>IF(K207="","",MAX(0,K207-IF(L207="",0,L207)))</f>
        <v/>
      </c>
      <c r="N207" s="20" t="n"/>
      <c r="O207" s="20" t="n"/>
      <c r="P207" s="20" t="n"/>
      <c r="Q207" s="20" t="n"/>
      <c r="R207" s="20" t="n"/>
      <c r="S207" s="19">
        <f>IF(A207="","",IF(COUNTIF('Email Log'!B:B,A207)&gt;0,"YES","NO"))</f>
        <v/>
      </c>
    </row>
    <row r="208">
      <c r="A208" s="20" t="n"/>
      <c r="B208" s="20" t="n"/>
      <c r="C208" s="20" t="n"/>
      <c r="D208" s="20" t="n"/>
      <c r="E208" s="20" t="n"/>
      <c r="F208" s="21" t="n"/>
      <c r="G208" s="21" t="n"/>
      <c r="H208" s="20" t="n"/>
      <c r="I208" s="22" t="n"/>
      <c r="J208" s="19">
        <f>IF(OR(F208="",G208=""),"",MAX(0,G208-F208))</f>
        <v/>
      </c>
      <c r="K208" s="23">
        <f>IF(OR(I208="",J208=""),"",I208*J208)</f>
        <v/>
      </c>
      <c r="L208" s="22" t="n"/>
      <c r="M208" s="23">
        <f>IF(K208="","",MAX(0,K208-IF(L208="",0,L208)))</f>
        <v/>
      </c>
      <c r="N208" s="20" t="n"/>
      <c r="O208" s="20" t="n"/>
      <c r="P208" s="20" t="n"/>
      <c r="Q208" s="20" t="n"/>
      <c r="R208" s="20" t="n"/>
      <c r="S208" s="19">
        <f>IF(A208="","",IF(COUNTIF('Email Log'!B:B,A208)&gt;0,"YES","NO"))</f>
        <v/>
      </c>
    </row>
    <row r="209">
      <c r="A209" s="20" t="n"/>
      <c r="B209" s="20" t="n"/>
      <c r="C209" s="20" t="n"/>
      <c r="D209" s="20" t="n"/>
      <c r="E209" s="20" t="n"/>
      <c r="F209" s="21" t="n"/>
      <c r="G209" s="21" t="n"/>
      <c r="H209" s="20" t="n"/>
      <c r="I209" s="22" t="n"/>
      <c r="J209" s="19">
        <f>IF(OR(F209="",G209=""),"",MAX(0,G209-F209))</f>
        <v/>
      </c>
      <c r="K209" s="23">
        <f>IF(OR(I209="",J209=""),"",I209*J209)</f>
        <v/>
      </c>
      <c r="L209" s="22" t="n"/>
      <c r="M209" s="23">
        <f>IF(K209="","",MAX(0,K209-IF(L209="",0,L209)))</f>
        <v/>
      </c>
      <c r="N209" s="20" t="n"/>
      <c r="O209" s="20" t="n"/>
      <c r="P209" s="20" t="n"/>
      <c r="Q209" s="20" t="n"/>
      <c r="R209" s="20" t="n"/>
      <c r="S209" s="19">
        <f>IF(A209="","",IF(COUNTIF('Email Log'!B:B,A209)&gt;0,"YES","NO"))</f>
        <v/>
      </c>
    </row>
    <row r="210">
      <c r="A210" s="20" t="n"/>
      <c r="B210" s="20" t="n"/>
      <c r="C210" s="20" t="n"/>
      <c r="D210" s="20" t="n"/>
      <c r="E210" s="20" t="n"/>
      <c r="F210" s="21" t="n"/>
      <c r="G210" s="21" t="n"/>
      <c r="H210" s="20" t="n"/>
      <c r="I210" s="22" t="n"/>
      <c r="J210" s="19">
        <f>IF(OR(F210="",G210=""),"",MAX(0,G210-F210))</f>
        <v/>
      </c>
      <c r="K210" s="23">
        <f>IF(OR(I210="",J210=""),"",I210*J210)</f>
        <v/>
      </c>
      <c r="L210" s="22" t="n"/>
      <c r="M210" s="23">
        <f>IF(K210="","",MAX(0,K210-IF(L210="",0,L210)))</f>
        <v/>
      </c>
      <c r="N210" s="20" t="n"/>
      <c r="O210" s="20" t="n"/>
      <c r="P210" s="20" t="n"/>
      <c r="Q210" s="20" t="n"/>
      <c r="R210" s="20" t="n"/>
      <c r="S210" s="19">
        <f>IF(A210="","",IF(COUNTIF('Email Log'!B:B,A210)&gt;0,"YES","NO"))</f>
        <v/>
      </c>
    </row>
    <row r="211">
      <c r="A211" s="20" t="n"/>
      <c r="B211" s="20" t="n"/>
      <c r="C211" s="20" t="n"/>
      <c r="D211" s="20" t="n"/>
      <c r="E211" s="20" t="n"/>
      <c r="F211" s="21" t="n"/>
      <c r="G211" s="21" t="n"/>
      <c r="H211" s="20" t="n"/>
      <c r="I211" s="22" t="n"/>
      <c r="J211" s="19">
        <f>IF(OR(F211="",G211=""),"",MAX(0,G211-F211))</f>
        <v/>
      </c>
      <c r="K211" s="23">
        <f>IF(OR(I211="",J211=""),"",I211*J211)</f>
        <v/>
      </c>
      <c r="L211" s="22" t="n"/>
      <c r="M211" s="23">
        <f>IF(K211="","",MAX(0,K211-IF(L211="",0,L211)))</f>
        <v/>
      </c>
      <c r="N211" s="20" t="n"/>
      <c r="O211" s="20" t="n"/>
      <c r="P211" s="20" t="n"/>
      <c r="Q211" s="20" t="n"/>
      <c r="R211" s="20" t="n"/>
      <c r="S211" s="19">
        <f>IF(A211="","",IF(COUNTIF('Email Log'!B:B,A211)&gt;0,"YES","NO"))</f>
        <v/>
      </c>
    </row>
    <row r="212">
      <c r="A212" s="20" t="n"/>
      <c r="B212" s="20" t="n"/>
      <c r="C212" s="20" t="n"/>
      <c r="D212" s="20" t="n"/>
      <c r="E212" s="20" t="n"/>
      <c r="F212" s="21" t="n"/>
      <c r="G212" s="21" t="n"/>
      <c r="H212" s="20" t="n"/>
      <c r="I212" s="22" t="n"/>
      <c r="J212" s="19">
        <f>IF(OR(F212="",G212=""),"",MAX(0,G212-F212))</f>
        <v/>
      </c>
      <c r="K212" s="23">
        <f>IF(OR(I212="",J212=""),"",I212*J212)</f>
        <v/>
      </c>
      <c r="L212" s="22" t="n"/>
      <c r="M212" s="23">
        <f>IF(K212="","",MAX(0,K212-IF(L212="",0,L212)))</f>
        <v/>
      </c>
      <c r="N212" s="20" t="n"/>
      <c r="O212" s="20" t="n"/>
      <c r="P212" s="20" t="n"/>
      <c r="Q212" s="20" t="n"/>
      <c r="R212" s="20" t="n"/>
      <c r="S212" s="19">
        <f>IF(A212="","",IF(COUNTIF('Email Log'!B:B,A212)&gt;0,"YES","NO"))</f>
        <v/>
      </c>
    </row>
    <row r="213">
      <c r="A213" s="20" t="n"/>
      <c r="B213" s="20" t="n"/>
      <c r="C213" s="20" t="n"/>
      <c r="D213" s="20" t="n"/>
      <c r="E213" s="20" t="n"/>
      <c r="F213" s="21" t="n"/>
      <c r="G213" s="21" t="n"/>
      <c r="H213" s="20" t="n"/>
      <c r="I213" s="22" t="n"/>
      <c r="J213" s="19">
        <f>IF(OR(F213="",G213=""),"",MAX(0,G213-F213))</f>
        <v/>
      </c>
      <c r="K213" s="23">
        <f>IF(OR(I213="",J213=""),"",I213*J213)</f>
        <v/>
      </c>
      <c r="L213" s="22" t="n"/>
      <c r="M213" s="23">
        <f>IF(K213="","",MAX(0,K213-IF(L213="",0,L213)))</f>
        <v/>
      </c>
      <c r="N213" s="20" t="n"/>
      <c r="O213" s="20" t="n"/>
      <c r="P213" s="20" t="n"/>
      <c r="Q213" s="20" t="n"/>
      <c r="R213" s="20" t="n"/>
      <c r="S213" s="19">
        <f>IF(A213="","",IF(COUNTIF('Email Log'!B:B,A213)&gt;0,"YES","NO"))</f>
        <v/>
      </c>
    </row>
    <row r="214">
      <c r="A214" s="20" t="n"/>
      <c r="B214" s="20" t="n"/>
      <c r="C214" s="20" t="n"/>
      <c r="D214" s="20" t="n"/>
      <c r="E214" s="20" t="n"/>
      <c r="F214" s="21" t="n"/>
      <c r="G214" s="21" t="n"/>
      <c r="H214" s="20" t="n"/>
      <c r="I214" s="22" t="n"/>
      <c r="J214" s="19">
        <f>IF(OR(F214="",G214=""),"",MAX(0,G214-F214))</f>
        <v/>
      </c>
      <c r="K214" s="23">
        <f>IF(OR(I214="",J214=""),"",I214*J214)</f>
        <v/>
      </c>
      <c r="L214" s="22" t="n"/>
      <c r="M214" s="23">
        <f>IF(K214="","",MAX(0,K214-IF(L214="",0,L214)))</f>
        <v/>
      </c>
      <c r="N214" s="20" t="n"/>
      <c r="O214" s="20" t="n"/>
      <c r="P214" s="20" t="n"/>
      <c r="Q214" s="20" t="n"/>
      <c r="R214" s="20" t="n"/>
      <c r="S214" s="19">
        <f>IF(A214="","",IF(COUNTIF('Email Log'!B:B,A214)&gt;0,"YES","NO"))</f>
        <v/>
      </c>
    </row>
    <row r="215">
      <c r="A215" s="20" t="n"/>
      <c r="B215" s="20" t="n"/>
      <c r="C215" s="20" t="n"/>
      <c r="D215" s="20" t="n"/>
      <c r="E215" s="20" t="n"/>
      <c r="F215" s="21" t="n"/>
      <c r="G215" s="21" t="n"/>
      <c r="H215" s="20" t="n"/>
      <c r="I215" s="22" t="n"/>
      <c r="J215" s="19">
        <f>IF(OR(F215="",G215=""),"",MAX(0,G215-F215))</f>
        <v/>
      </c>
      <c r="K215" s="23">
        <f>IF(OR(I215="",J215=""),"",I215*J215)</f>
        <v/>
      </c>
      <c r="L215" s="22" t="n"/>
      <c r="M215" s="23">
        <f>IF(K215="","",MAX(0,K215-IF(L215="",0,L215)))</f>
        <v/>
      </c>
      <c r="N215" s="20" t="n"/>
      <c r="O215" s="20" t="n"/>
      <c r="P215" s="20" t="n"/>
      <c r="Q215" s="20" t="n"/>
      <c r="R215" s="20" t="n"/>
      <c r="S215" s="19">
        <f>IF(A215="","",IF(COUNTIF('Email Log'!B:B,A215)&gt;0,"YES","NO"))</f>
        <v/>
      </c>
    </row>
    <row r="216">
      <c r="A216" s="20" t="n"/>
      <c r="B216" s="20" t="n"/>
      <c r="C216" s="20" t="n"/>
      <c r="D216" s="20" t="n"/>
      <c r="E216" s="20" t="n"/>
      <c r="F216" s="21" t="n"/>
      <c r="G216" s="21" t="n"/>
      <c r="H216" s="20" t="n"/>
      <c r="I216" s="22" t="n"/>
      <c r="J216" s="19">
        <f>IF(OR(F216="",G216=""),"",MAX(0,G216-F216))</f>
        <v/>
      </c>
      <c r="K216" s="23">
        <f>IF(OR(I216="",J216=""),"",I216*J216)</f>
        <v/>
      </c>
      <c r="L216" s="22" t="n"/>
      <c r="M216" s="23">
        <f>IF(K216="","",MAX(0,K216-IF(L216="",0,L216)))</f>
        <v/>
      </c>
      <c r="N216" s="20" t="n"/>
      <c r="O216" s="20" t="n"/>
      <c r="P216" s="20" t="n"/>
      <c r="Q216" s="20" t="n"/>
      <c r="R216" s="20" t="n"/>
      <c r="S216" s="19">
        <f>IF(A216="","",IF(COUNTIF('Email Log'!B:B,A216)&gt;0,"YES","NO"))</f>
        <v/>
      </c>
    </row>
    <row r="217">
      <c r="A217" s="20" t="n"/>
      <c r="B217" s="20" t="n"/>
      <c r="C217" s="20" t="n"/>
      <c r="D217" s="20" t="n"/>
      <c r="E217" s="20" t="n"/>
      <c r="F217" s="21" t="n"/>
      <c r="G217" s="21" t="n"/>
      <c r="H217" s="20" t="n"/>
      <c r="I217" s="22" t="n"/>
      <c r="J217" s="19">
        <f>IF(OR(F217="",G217=""),"",MAX(0,G217-F217))</f>
        <v/>
      </c>
      <c r="K217" s="23">
        <f>IF(OR(I217="",J217=""),"",I217*J217)</f>
        <v/>
      </c>
      <c r="L217" s="22" t="n"/>
      <c r="M217" s="23">
        <f>IF(K217="","",MAX(0,K217-IF(L217="",0,L217)))</f>
        <v/>
      </c>
      <c r="N217" s="20" t="n"/>
      <c r="O217" s="20" t="n"/>
      <c r="P217" s="20" t="n"/>
      <c r="Q217" s="20" t="n"/>
      <c r="R217" s="20" t="n"/>
      <c r="S217" s="19">
        <f>IF(A217="","",IF(COUNTIF('Email Log'!B:B,A217)&gt;0,"YES","NO"))</f>
        <v/>
      </c>
    </row>
    <row r="218">
      <c r="A218" s="20" t="n"/>
      <c r="B218" s="20" t="n"/>
      <c r="C218" s="20" t="n"/>
      <c r="D218" s="20" t="n"/>
      <c r="E218" s="20" t="n"/>
      <c r="F218" s="21" t="n"/>
      <c r="G218" s="21" t="n"/>
      <c r="H218" s="20" t="n"/>
      <c r="I218" s="22" t="n"/>
      <c r="J218" s="19">
        <f>IF(OR(F218="",G218=""),"",MAX(0,G218-F218))</f>
        <v/>
      </c>
      <c r="K218" s="23">
        <f>IF(OR(I218="",J218=""),"",I218*J218)</f>
        <v/>
      </c>
      <c r="L218" s="22" t="n"/>
      <c r="M218" s="23">
        <f>IF(K218="","",MAX(0,K218-IF(L218="",0,L218)))</f>
        <v/>
      </c>
      <c r="N218" s="20" t="n"/>
      <c r="O218" s="20" t="n"/>
      <c r="P218" s="20" t="n"/>
      <c r="Q218" s="20" t="n"/>
      <c r="R218" s="20" t="n"/>
      <c r="S218" s="19">
        <f>IF(A218="","",IF(COUNTIF('Email Log'!B:B,A218)&gt;0,"YES","NO"))</f>
        <v/>
      </c>
    </row>
    <row r="219">
      <c r="A219" s="20" t="n"/>
      <c r="B219" s="20" t="n"/>
      <c r="C219" s="20" t="n"/>
      <c r="D219" s="20" t="n"/>
      <c r="E219" s="20" t="n"/>
      <c r="F219" s="21" t="n"/>
      <c r="G219" s="21" t="n"/>
      <c r="H219" s="20" t="n"/>
      <c r="I219" s="22" t="n"/>
      <c r="J219" s="19">
        <f>IF(OR(F219="",G219=""),"",MAX(0,G219-F219))</f>
        <v/>
      </c>
      <c r="K219" s="23">
        <f>IF(OR(I219="",J219=""),"",I219*J219)</f>
        <v/>
      </c>
      <c r="L219" s="22" t="n"/>
      <c r="M219" s="23">
        <f>IF(K219="","",MAX(0,K219-IF(L219="",0,L219)))</f>
        <v/>
      </c>
      <c r="N219" s="20" t="n"/>
      <c r="O219" s="20" t="n"/>
      <c r="P219" s="20" t="n"/>
      <c r="Q219" s="20" t="n"/>
      <c r="R219" s="20" t="n"/>
      <c r="S219" s="19">
        <f>IF(A219="","",IF(COUNTIF('Email Log'!B:B,A219)&gt;0,"YES","NO"))</f>
        <v/>
      </c>
    </row>
    <row r="220">
      <c r="A220" s="20" t="n"/>
      <c r="B220" s="20" t="n"/>
      <c r="C220" s="20" t="n"/>
      <c r="D220" s="20" t="n"/>
      <c r="E220" s="20" t="n"/>
      <c r="F220" s="21" t="n"/>
      <c r="G220" s="21" t="n"/>
      <c r="H220" s="20" t="n"/>
      <c r="I220" s="22" t="n"/>
      <c r="J220" s="19">
        <f>IF(OR(F220="",G220=""),"",MAX(0,G220-F220))</f>
        <v/>
      </c>
      <c r="K220" s="23">
        <f>IF(OR(I220="",J220=""),"",I220*J220)</f>
        <v/>
      </c>
      <c r="L220" s="22" t="n"/>
      <c r="M220" s="23">
        <f>IF(K220="","",MAX(0,K220-IF(L220="",0,L220)))</f>
        <v/>
      </c>
      <c r="N220" s="20" t="n"/>
      <c r="O220" s="20" t="n"/>
      <c r="P220" s="20" t="n"/>
      <c r="Q220" s="20" t="n"/>
      <c r="R220" s="20" t="n"/>
      <c r="S220" s="19">
        <f>IF(A220="","",IF(COUNTIF('Email Log'!B:B,A220)&gt;0,"YES","NO"))</f>
        <v/>
      </c>
    </row>
    <row r="221">
      <c r="A221" s="20" t="n"/>
      <c r="B221" s="20" t="n"/>
      <c r="C221" s="20" t="n"/>
      <c r="D221" s="20" t="n"/>
      <c r="E221" s="20" t="n"/>
      <c r="F221" s="21" t="n"/>
      <c r="G221" s="21" t="n"/>
      <c r="H221" s="20" t="n"/>
      <c r="I221" s="22" t="n"/>
      <c r="J221" s="19">
        <f>IF(OR(F221="",G221=""),"",MAX(0,G221-F221))</f>
        <v/>
      </c>
      <c r="K221" s="23">
        <f>IF(OR(I221="",J221=""),"",I221*J221)</f>
        <v/>
      </c>
      <c r="L221" s="22" t="n"/>
      <c r="M221" s="23">
        <f>IF(K221="","",MAX(0,K221-IF(L221="",0,L221)))</f>
        <v/>
      </c>
      <c r="N221" s="20" t="n"/>
      <c r="O221" s="20" t="n"/>
      <c r="P221" s="20" t="n"/>
      <c r="Q221" s="20" t="n"/>
      <c r="R221" s="20" t="n"/>
      <c r="S221" s="19">
        <f>IF(A221="","",IF(COUNTIF('Email Log'!B:B,A221)&gt;0,"YES","NO"))</f>
        <v/>
      </c>
    </row>
    <row r="222">
      <c r="A222" s="20" t="n"/>
      <c r="B222" s="20" t="n"/>
      <c r="C222" s="20" t="n"/>
      <c r="D222" s="20" t="n"/>
      <c r="E222" s="20" t="n"/>
      <c r="F222" s="21" t="n"/>
      <c r="G222" s="21" t="n"/>
      <c r="H222" s="20" t="n"/>
      <c r="I222" s="22" t="n"/>
      <c r="J222" s="19">
        <f>IF(OR(F222="",G222=""),"",MAX(0,G222-F222))</f>
        <v/>
      </c>
      <c r="K222" s="23">
        <f>IF(OR(I222="",J222=""),"",I222*J222)</f>
        <v/>
      </c>
      <c r="L222" s="22" t="n"/>
      <c r="M222" s="23">
        <f>IF(K222="","",MAX(0,K222-IF(L222="",0,L222)))</f>
        <v/>
      </c>
      <c r="N222" s="20" t="n"/>
      <c r="O222" s="20" t="n"/>
      <c r="P222" s="20" t="n"/>
      <c r="Q222" s="20" t="n"/>
      <c r="R222" s="20" t="n"/>
      <c r="S222" s="19">
        <f>IF(A222="","",IF(COUNTIF('Email Log'!B:B,A222)&gt;0,"YES","NO"))</f>
        <v/>
      </c>
    </row>
    <row r="223">
      <c r="A223" s="20" t="n"/>
      <c r="B223" s="20" t="n"/>
      <c r="C223" s="20" t="n"/>
      <c r="D223" s="20" t="n"/>
      <c r="E223" s="20" t="n"/>
      <c r="F223" s="21" t="n"/>
      <c r="G223" s="21" t="n"/>
      <c r="H223" s="20" t="n"/>
      <c r="I223" s="22" t="n"/>
      <c r="J223" s="19">
        <f>IF(OR(F223="",G223=""),"",MAX(0,G223-F223))</f>
        <v/>
      </c>
      <c r="K223" s="23">
        <f>IF(OR(I223="",J223=""),"",I223*J223)</f>
        <v/>
      </c>
      <c r="L223" s="22" t="n"/>
      <c r="M223" s="23">
        <f>IF(K223="","",MAX(0,K223-IF(L223="",0,L223)))</f>
        <v/>
      </c>
      <c r="N223" s="20" t="n"/>
      <c r="O223" s="20" t="n"/>
      <c r="P223" s="20" t="n"/>
      <c r="Q223" s="20" t="n"/>
      <c r="R223" s="20" t="n"/>
      <c r="S223" s="19">
        <f>IF(A223="","",IF(COUNTIF('Email Log'!B:B,A223)&gt;0,"YES","NO"))</f>
        <v/>
      </c>
    </row>
    <row r="224">
      <c r="A224" s="20" t="n"/>
      <c r="B224" s="20" t="n"/>
      <c r="C224" s="20" t="n"/>
      <c r="D224" s="20" t="n"/>
      <c r="E224" s="20" t="n"/>
      <c r="F224" s="21" t="n"/>
      <c r="G224" s="21" t="n"/>
      <c r="H224" s="20" t="n"/>
      <c r="I224" s="22" t="n"/>
      <c r="J224" s="19">
        <f>IF(OR(F224="",G224=""),"",MAX(0,G224-F224))</f>
        <v/>
      </c>
      <c r="K224" s="23">
        <f>IF(OR(I224="",J224=""),"",I224*J224)</f>
        <v/>
      </c>
      <c r="L224" s="22" t="n"/>
      <c r="M224" s="23">
        <f>IF(K224="","",MAX(0,K224-IF(L224="",0,L224)))</f>
        <v/>
      </c>
      <c r="N224" s="20" t="n"/>
      <c r="O224" s="20" t="n"/>
      <c r="P224" s="20" t="n"/>
      <c r="Q224" s="20" t="n"/>
      <c r="R224" s="20" t="n"/>
      <c r="S224" s="19">
        <f>IF(A224="","",IF(COUNTIF('Email Log'!B:B,A224)&gt;0,"YES","NO"))</f>
        <v/>
      </c>
    </row>
    <row r="225">
      <c r="A225" s="20" t="n"/>
      <c r="B225" s="20" t="n"/>
      <c r="C225" s="20" t="n"/>
      <c r="D225" s="20" t="n"/>
      <c r="E225" s="20" t="n"/>
      <c r="F225" s="21" t="n"/>
      <c r="G225" s="21" t="n"/>
      <c r="H225" s="20" t="n"/>
      <c r="I225" s="22" t="n"/>
      <c r="J225" s="19">
        <f>IF(OR(F225="",G225=""),"",MAX(0,G225-F225))</f>
        <v/>
      </c>
      <c r="K225" s="23">
        <f>IF(OR(I225="",J225=""),"",I225*J225)</f>
        <v/>
      </c>
      <c r="L225" s="22" t="n"/>
      <c r="M225" s="23">
        <f>IF(K225="","",MAX(0,K225-IF(L225="",0,L225)))</f>
        <v/>
      </c>
      <c r="N225" s="20" t="n"/>
      <c r="O225" s="20" t="n"/>
      <c r="P225" s="20" t="n"/>
      <c r="Q225" s="20" t="n"/>
      <c r="R225" s="20" t="n"/>
      <c r="S225" s="19">
        <f>IF(A225="","",IF(COUNTIF('Email Log'!B:B,A225)&gt;0,"YES","NO"))</f>
        <v/>
      </c>
    </row>
    <row r="226">
      <c r="A226" s="20" t="n"/>
      <c r="B226" s="20" t="n"/>
      <c r="C226" s="20" t="n"/>
      <c r="D226" s="20" t="n"/>
      <c r="E226" s="20" t="n"/>
      <c r="F226" s="21" t="n"/>
      <c r="G226" s="21" t="n"/>
      <c r="H226" s="20" t="n"/>
      <c r="I226" s="22" t="n"/>
      <c r="J226" s="19">
        <f>IF(OR(F226="",G226=""),"",MAX(0,G226-F226))</f>
        <v/>
      </c>
      <c r="K226" s="23">
        <f>IF(OR(I226="",J226=""),"",I226*J226)</f>
        <v/>
      </c>
      <c r="L226" s="22" t="n"/>
      <c r="M226" s="23">
        <f>IF(K226="","",MAX(0,K226-IF(L226="",0,L226)))</f>
        <v/>
      </c>
      <c r="N226" s="20" t="n"/>
      <c r="O226" s="20" t="n"/>
      <c r="P226" s="20" t="n"/>
      <c r="Q226" s="20" t="n"/>
      <c r="R226" s="20" t="n"/>
      <c r="S226" s="19">
        <f>IF(A226="","",IF(COUNTIF('Email Log'!B:B,A226)&gt;0,"YES","NO"))</f>
        <v/>
      </c>
    </row>
    <row r="227">
      <c r="A227" s="20" t="n"/>
      <c r="B227" s="20" t="n"/>
      <c r="C227" s="20" t="n"/>
      <c r="D227" s="20" t="n"/>
      <c r="E227" s="20" t="n"/>
      <c r="F227" s="21" t="n"/>
      <c r="G227" s="21" t="n"/>
      <c r="H227" s="20" t="n"/>
      <c r="I227" s="22" t="n"/>
      <c r="J227" s="19">
        <f>IF(OR(F227="",G227=""),"",MAX(0,G227-F227))</f>
        <v/>
      </c>
      <c r="K227" s="23">
        <f>IF(OR(I227="",J227=""),"",I227*J227)</f>
        <v/>
      </c>
      <c r="L227" s="22" t="n"/>
      <c r="M227" s="23">
        <f>IF(K227="","",MAX(0,K227-IF(L227="",0,L227)))</f>
        <v/>
      </c>
      <c r="N227" s="20" t="n"/>
      <c r="O227" s="20" t="n"/>
      <c r="P227" s="20" t="n"/>
      <c r="Q227" s="20" t="n"/>
      <c r="R227" s="20" t="n"/>
      <c r="S227" s="19">
        <f>IF(A227="","",IF(COUNTIF('Email Log'!B:B,A227)&gt;0,"YES","NO"))</f>
        <v/>
      </c>
    </row>
    <row r="228">
      <c r="A228" s="20" t="n"/>
      <c r="B228" s="20" t="n"/>
      <c r="C228" s="20" t="n"/>
      <c r="D228" s="20" t="n"/>
      <c r="E228" s="20" t="n"/>
      <c r="F228" s="21" t="n"/>
      <c r="G228" s="21" t="n"/>
      <c r="H228" s="20" t="n"/>
      <c r="I228" s="22" t="n"/>
      <c r="J228" s="19">
        <f>IF(OR(F228="",G228=""),"",MAX(0,G228-F228))</f>
        <v/>
      </c>
      <c r="K228" s="23">
        <f>IF(OR(I228="",J228=""),"",I228*J228)</f>
        <v/>
      </c>
      <c r="L228" s="22" t="n"/>
      <c r="M228" s="23">
        <f>IF(K228="","",MAX(0,K228-IF(L228="",0,L228)))</f>
        <v/>
      </c>
      <c r="N228" s="20" t="n"/>
      <c r="O228" s="20" t="n"/>
      <c r="P228" s="20" t="n"/>
      <c r="Q228" s="20" t="n"/>
      <c r="R228" s="20" t="n"/>
      <c r="S228" s="19">
        <f>IF(A228="","",IF(COUNTIF('Email Log'!B:B,A228)&gt;0,"YES","NO"))</f>
        <v/>
      </c>
    </row>
    <row r="229">
      <c r="A229" s="20" t="n"/>
      <c r="B229" s="20" t="n"/>
      <c r="C229" s="20" t="n"/>
      <c r="D229" s="20" t="n"/>
      <c r="E229" s="20" t="n"/>
      <c r="F229" s="21" t="n"/>
      <c r="G229" s="21" t="n"/>
      <c r="H229" s="20" t="n"/>
      <c r="I229" s="22" t="n"/>
      <c r="J229" s="19">
        <f>IF(OR(F229="",G229=""),"",MAX(0,G229-F229))</f>
        <v/>
      </c>
      <c r="K229" s="23">
        <f>IF(OR(I229="",J229=""),"",I229*J229)</f>
        <v/>
      </c>
      <c r="L229" s="22" t="n"/>
      <c r="M229" s="23">
        <f>IF(K229="","",MAX(0,K229-IF(L229="",0,L229)))</f>
        <v/>
      </c>
      <c r="N229" s="20" t="n"/>
      <c r="O229" s="20" t="n"/>
      <c r="P229" s="20" t="n"/>
      <c r="Q229" s="20" t="n"/>
      <c r="R229" s="20" t="n"/>
      <c r="S229" s="19">
        <f>IF(A229="","",IF(COUNTIF('Email Log'!B:B,A229)&gt;0,"YES","NO"))</f>
        <v/>
      </c>
    </row>
    <row r="230">
      <c r="A230" s="20" t="n"/>
      <c r="B230" s="20" t="n"/>
      <c r="C230" s="20" t="n"/>
      <c r="D230" s="20" t="n"/>
      <c r="E230" s="20" t="n"/>
      <c r="F230" s="21" t="n"/>
      <c r="G230" s="21" t="n"/>
      <c r="H230" s="20" t="n"/>
      <c r="I230" s="22" t="n"/>
      <c r="J230" s="19">
        <f>IF(OR(F230="",G230=""),"",MAX(0,G230-F230))</f>
        <v/>
      </c>
      <c r="K230" s="23">
        <f>IF(OR(I230="",J230=""),"",I230*J230)</f>
        <v/>
      </c>
      <c r="L230" s="22" t="n"/>
      <c r="M230" s="23">
        <f>IF(K230="","",MAX(0,K230-IF(L230="",0,L230)))</f>
        <v/>
      </c>
      <c r="N230" s="20" t="n"/>
      <c r="O230" s="20" t="n"/>
      <c r="P230" s="20" t="n"/>
      <c r="Q230" s="20" t="n"/>
      <c r="R230" s="20" t="n"/>
      <c r="S230" s="19">
        <f>IF(A230="","",IF(COUNTIF('Email Log'!B:B,A230)&gt;0,"YES","NO"))</f>
        <v/>
      </c>
    </row>
    <row r="231">
      <c r="A231" s="20" t="n"/>
      <c r="B231" s="20" t="n"/>
      <c r="C231" s="20" t="n"/>
      <c r="D231" s="20" t="n"/>
      <c r="E231" s="20" t="n"/>
      <c r="F231" s="21" t="n"/>
      <c r="G231" s="21" t="n"/>
      <c r="H231" s="20" t="n"/>
      <c r="I231" s="22" t="n"/>
      <c r="J231" s="19">
        <f>IF(OR(F231="",G231=""),"",MAX(0,G231-F231))</f>
        <v/>
      </c>
      <c r="K231" s="23">
        <f>IF(OR(I231="",J231=""),"",I231*J231)</f>
        <v/>
      </c>
      <c r="L231" s="22" t="n"/>
      <c r="M231" s="23">
        <f>IF(K231="","",MAX(0,K231-IF(L231="",0,L231)))</f>
        <v/>
      </c>
      <c r="N231" s="20" t="n"/>
      <c r="O231" s="20" t="n"/>
      <c r="P231" s="20" t="n"/>
      <c r="Q231" s="20" t="n"/>
      <c r="R231" s="20" t="n"/>
      <c r="S231" s="19">
        <f>IF(A231="","",IF(COUNTIF('Email Log'!B:B,A231)&gt;0,"YES","NO"))</f>
        <v/>
      </c>
    </row>
    <row r="232">
      <c r="A232" s="20" t="n"/>
      <c r="B232" s="20" t="n"/>
      <c r="C232" s="20" t="n"/>
      <c r="D232" s="20" t="n"/>
      <c r="E232" s="20" t="n"/>
      <c r="F232" s="21" t="n"/>
      <c r="G232" s="21" t="n"/>
      <c r="H232" s="20" t="n"/>
      <c r="I232" s="22" t="n"/>
      <c r="J232" s="19">
        <f>IF(OR(F232="",G232=""),"",MAX(0,G232-F232))</f>
        <v/>
      </c>
      <c r="K232" s="23">
        <f>IF(OR(I232="",J232=""),"",I232*J232)</f>
        <v/>
      </c>
      <c r="L232" s="22" t="n"/>
      <c r="M232" s="23">
        <f>IF(K232="","",MAX(0,K232-IF(L232="",0,L232)))</f>
        <v/>
      </c>
      <c r="N232" s="20" t="n"/>
      <c r="O232" s="20" t="n"/>
      <c r="P232" s="20" t="n"/>
      <c r="Q232" s="20" t="n"/>
      <c r="R232" s="20" t="n"/>
      <c r="S232" s="19">
        <f>IF(A232="","",IF(COUNTIF('Email Log'!B:B,A232)&gt;0,"YES","NO"))</f>
        <v/>
      </c>
    </row>
    <row r="233">
      <c r="A233" s="20" t="n"/>
      <c r="B233" s="20" t="n"/>
      <c r="C233" s="20" t="n"/>
      <c r="D233" s="20" t="n"/>
      <c r="E233" s="20" t="n"/>
      <c r="F233" s="21" t="n"/>
      <c r="G233" s="21" t="n"/>
      <c r="H233" s="20" t="n"/>
      <c r="I233" s="22" t="n"/>
      <c r="J233" s="19">
        <f>IF(OR(F233="",G233=""),"",MAX(0,G233-F233))</f>
        <v/>
      </c>
      <c r="K233" s="23">
        <f>IF(OR(I233="",J233=""),"",I233*J233)</f>
        <v/>
      </c>
      <c r="L233" s="22" t="n"/>
      <c r="M233" s="23">
        <f>IF(K233="","",MAX(0,K233-IF(L233="",0,L233)))</f>
        <v/>
      </c>
      <c r="N233" s="20" t="n"/>
      <c r="O233" s="20" t="n"/>
      <c r="P233" s="20" t="n"/>
      <c r="Q233" s="20" t="n"/>
      <c r="R233" s="20" t="n"/>
      <c r="S233" s="19">
        <f>IF(A233="","",IF(COUNTIF('Email Log'!B:B,A233)&gt;0,"YES","NO"))</f>
        <v/>
      </c>
    </row>
    <row r="234">
      <c r="A234" s="20" t="n"/>
      <c r="B234" s="20" t="n"/>
      <c r="C234" s="20" t="n"/>
      <c r="D234" s="20" t="n"/>
      <c r="E234" s="20" t="n"/>
      <c r="F234" s="21" t="n"/>
      <c r="G234" s="21" t="n"/>
      <c r="H234" s="20" t="n"/>
      <c r="I234" s="22" t="n"/>
      <c r="J234" s="19">
        <f>IF(OR(F234="",G234=""),"",MAX(0,G234-F234))</f>
        <v/>
      </c>
      <c r="K234" s="23">
        <f>IF(OR(I234="",J234=""),"",I234*J234)</f>
        <v/>
      </c>
      <c r="L234" s="22" t="n"/>
      <c r="M234" s="23">
        <f>IF(K234="","",MAX(0,K234-IF(L234="",0,L234)))</f>
        <v/>
      </c>
      <c r="N234" s="20" t="n"/>
      <c r="O234" s="20" t="n"/>
      <c r="P234" s="20" t="n"/>
      <c r="Q234" s="20" t="n"/>
      <c r="R234" s="20" t="n"/>
      <c r="S234" s="19">
        <f>IF(A234="","",IF(COUNTIF('Email Log'!B:B,A234)&gt;0,"YES","NO"))</f>
        <v/>
      </c>
    </row>
    <row r="235">
      <c r="A235" s="20" t="n"/>
      <c r="B235" s="20" t="n"/>
      <c r="C235" s="20" t="n"/>
      <c r="D235" s="20" t="n"/>
      <c r="E235" s="20" t="n"/>
      <c r="F235" s="21" t="n"/>
      <c r="G235" s="21" t="n"/>
      <c r="H235" s="20" t="n"/>
      <c r="I235" s="22" t="n"/>
      <c r="J235" s="19">
        <f>IF(OR(F235="",G235=""),"",MAX(0,G235-F235))</f>
        <v/>
      </c>
      <c r="K235" s="23">
        <f>IF(OR(I235="",J235=""),"",I235*J235)</f>
        <v/>
      </c>
      <c r="L235" s="22" t="n"/>
      <c r="M235" s="23">
        <f>IF(K235="","",MAX(0,K235-IF(L235="",0,L235)))</f>
        <v/>
      </c>
      <c r="N235" s="20" t="n"/>
      <c r="O235" s="20" t="n"/>
      <c r="P235" s="20" t="n"/>
      <c r="Q235" s="20" t="n"/>
      <c r="R235" s="20" t="n"/>
      <c r="S235" s="19">
        <f>IF(A235="","",IF(COUNTIF('Email Log'!B:B,A235)&gt;0,"YES","NO"))</f>
        <v/>
      </c>
    </row>
    <row r="236">
      <c r="A236" s="20" t="n"/>
      <c r="B236" s="20" t="n"/>
      <c r="C236" s="20" t="n"/>
      <c r="D236" s="20" t="n"/>
      <c r="E236" s="20" t="n"/>
      <c r="F236" s="21" t="n"/>
      <c r="G236" s="21" t="n"/>
      <c r="H236" s="20" t="n"/>
      <c r="I236" s="22" t="n"/>
      <c r="J236" s="19">
        <f>IF(OR(F236="",G236=""),"",MAX(0,G236-F236))</f>
        <v/>
      </c>
      <c r="K236" s="23">
        <f>IF(OR(I236="",J236=""),"",I236*J236)</f>
        <v/>
      </c>
      <c r="L236" s="22" t="n"/>
      <c r="M236" s="23">
        <f>IF(K236="","",MAX(0,K236-IF(L236="",0,L236)))</f>
        <v/>
      </c>
      <c r="N236" s="20" t="n"/>
      <c r="O236" s="20" t="n"/>
      <c r="P236" s="20" t="n"/>
      <c r="Q236" s="20" t="n"/>
      <c r="R236" s="20" t="n"/>
      <c r="S236" s="19">
        <f>IF(A236="","",IF(COUNTIF('Email Log'!B:B,A236)&gt;0,"YES","NO"))</f>
        <v/>
      </c>
    </row>
    <row r="237">
      <c r="A237" s="20" t="n"/>
      <c r="B237" s="20" t="n"/>
      <c r="C237" s="20" t="n"/>
      <c r="D237" s="20" t="n"/>
      <c r="E237" s="20" t="n"/>
      <c r="F237" s="21" t="n"/>
      <c r="G237" s="21" t="n"/>
      <c r="H237" s="20" t="n"/>
      <c r="I237" s="22" t="n"/>
      <c r="J237" s="19">
        <f>IF(OR(F237="",G237=""),"",MAX(0,G237-F237))</f>
        <v/>
      </c>
      <c r="K237" s="23">
        <f>IF(OR(I237="",J237=""),"",I237*J237)</f>
        <v/>
      </c>
      <c r="L237" s="22" t="n"/>
      <c r="M237" s="23">
        <f>IF(K237="","",MAX(0,K237-IF(L237="",0,L237)))</f>
        <v/>
      </c>
      <c r="N237" s="20" t="n"/>
      <c r="O237" s="20" t="n"/>
      <c r="P237" s="20" t="n"/>
      <c r="Q237" s="20" t="n"/>
      <c r="R237" s="20" t="n"/>
      <c r="S237" s="19">
        <f>IF(A237="","",IF(COUNTIF('Email Log'!B:B,A237)&gt;0,"YES","NO"))</f>
        <v/>
      </c>
    </row>
    <row r="238">
      <c r="A238" s="20" t="n"/>
      <c r="B238" s="20" t="n"/>
      <c r="C238" s="20" t="n"/>
      <c r="D238" s="20" t="n"/>
      <c r="E238" s="20" t="n"/>
      <c r="F238" s="21" t="n"/>
      <c r="G238" s="21" t="n"/>
      <c r="H238" s="20" t="n"/>
      <c r="I238" s="22" t="n"/>
      <c r="J238" s="19">
        <f>IF(OR(F238="",G238=""),"",MAX(0,G238-F238))</f>
        <v/>
      </c>
      <c r="K238" s="23">
        <f>IF(OR(I238="",J238=""),"",I238*J238)</f>
        <v/>
      </c>
      <c r="L238" s="22" t="n"/>
      <c r="M238" s="23">
        <f>IF(K238="","",MAX(0,K238-IF(L238="",0,L238)))</f>
        <v/>
      </c>
      <c r="N238" s="20" t="n"/>
      <c r="O238" s="20" t="n"/>
      <c r="P238" s="20" t="n"/>
      <c r="Q238" s="20" t="n"/>
      <c r="R238" s="20" t="n"/>
      <c r="S238" s="19">
        <f>IF(A238="","",IF(COUNTIF('Email Log'!B:B,A238)&gt;0,"YES","NO"))</f>
        <v/>
      </c>
    </row>
    <row r="239">
      <c r="A239" s="20" t="n"/>
      <c r="B239" s="20" t="n"/>
      <c r="C239" s="20" t="n"/>
      <c r="D239" s="20" t="n"/>
      <c r="E239" s="20" t="n"/>
      <c r="F239" s="21" t="n"/>
      <c r="G239" s="21" t="n"/>
      <c r="H239" s="20" t="n"/>
      <c r="I239" s="22" t="n"/>
      <c r="J239" s="19">
        <f>IF(OR(F239="",G239=""),"",MAX(0,G239-F239))</f>
        <v/>
      </c>
      <c r="K239" s="23">
        <f>IF(OR(I239="",J239=""),"",I239*J239)</f>
        <v/>
      </c>
      <c r="L239" s="22" t="n"/>
      <c r="M239" s="23">
        <f>IF(K239="","",MAX(0,K239-IF(L239="",0,L239)))</f>
        <v/>
      </c>
      <c r="N239" s="20" t="n"/>
      <c r="O239" s="20" t="n"/>
      <c r="P239" s="20" t="n"/>
      <c r="Q239" s="20" t="n"/>
      <c r="R239" s="20" t="n"/>
      <c r="S239" s="19">
        <f>IF(A239="","",IF(COUNTIF('Email Log'!B:B,A239)&gt;0,"YES","NO"))</f>
        <v/>
      </c>
    </row>
    <row r="240">
      <c r="A240" s="20" t="n"/>
      <c r="B240" s="20" t="n"/>
      <c r="C240" s="20" t="n"/>
      <c r="D240" s="20" t="n"/>
      <c r="E240" s="20" t="n"/>
      <c r="F240" s="21" t="n"/>
      <c r="G240" s="21" t="n"/>
      <c r="H240" s="20" t="n"/>
      <c r="I240" s="22" t="n"/>
      <c r="J240" s="19">
        <f>IF(OR(F240="",G240=""),"",MAX(0,G240-F240))</f>
        <v/>
      </c>
      <c r="K240" s="23">
        <f>IF(OR(I240="",J240=""),"",I240*J240)</f>
        <v/>
      </c>
      <c r="L240" s="22" t="n"/>
      <c r="M240" s="23">
        <f>IF(K240="","",MAX(0,K240-IF(L240="",0,L240)))</f>
        <v/>
      </c>
      <c r="N240" s="20" t="n"/>
      <c r="O240" s="20" t="n"/>
      <c r="P240" s="20" t="n"/>
      <c r="Q240" s="20" t="n"/>
      <c r="R240" s="20" t="n"/>
      <c r="S240" s="19">
        <f>IF(A240="","",IF(COUNTIF('Email Log'!B:B,A240)&gt;0,"YES","NO"))</f>
        <v/>
      </c>
    </row>
    <row r="241">
      <c r="A241" s="20" t="n"/>
      <c r="B241" s="20" t="n"/>
      <c r="C241" s="20" t="n"/>
      <c r="D241" s="20" t="n"/>
      <c r="E241" s="20" t="n"/>
      <c r="F241" s="21" t="n"/>
      <c r="G241" s="21" t="n"/>
      <c r="H241" s="20" t="n"/>
      <c r="I241" s="22" t="n"/>
      <c r="J241" s="19">
        <f>IF(OR(F241="",G241=""),"",MAX(0,G241-F241))</f>
        <v/>
      </c>
      <c r="K241" s="23">
        <f>IF(OR(I241="",J241=""),"",I241*J241)</f>
        <v/>
      </c>
      <c r="L241" s="22" t="n"/>
      <c r="M241" s="23">
        <f>IF(K241="","",MAX(0,K241-IF(L241="",0,L241)))</f>
        <v/>
      </c>
      <c r="N241" s="20" t="n"/>
      <c r="O241" s="20" t="n"/>
      <c r="P241" s="20" t="n"/>
      <c r="Q241" s="20" t="n"/>
      <c r="R241" s="20" t="n"/>
      <c r="S241" s="19">
        <f>IF(A241="","",IF(COUNTIF('Email Log'!B:B,A241)&gt;0,"YES","NO"))</f>
        <v/>
      </c>
    </row>
    <row r="242">
      <c r="A242" s="20" t="n"/>
      <c r="B242" s="20" t="n"/>
      <c r="C242" s="20" t="n"/>
      <c r="D242" s="20" t="n"/>
      <c r="E242" s="20" t="n"/>
      <c r="F242" s="21" t="n"/>
      <c r="G242" s="21" t="n"/>
      <c r="H242" s="20" t="n"/>
      <c r="I242" s="22" t="n"/>
      <c r="J242" s="19">
        <f>IF(OR(F242="",G242=""),"",MAX(0,G242-F242))</f>
        <v/>
      </c>
      <c r="K242" s="23">
        <f>IF(OR(I242="",J242=""),"",I242*J242)</f>
        <v/>
      </c>
      <c r="L242" s="22" t="n"/>
      <c r="M242" s="23">
        <f>IF(K242="","",MAX(0,K242-IF(L242="",0,L242)))</f>
        <v/>
      </c>
      <c r="N242" s="20" t="n"/>
      <c r="O242" s="20" t="n"/>
      <c r="P242" s="20" t="n"/>
      <c r="Q242" s="20" t="n"/>
      <c r="R242" s="20" t="n"/>
      <c r="S242" s="19">
        <f>IF(A242="","",IF(COUNTIF('Email Log'!B:B,A242)&gt;0,"YES","NO"))</f>
        <v/>
      </c>
    </row>
    <row r="243">
      <c r="A243" s="20" t="n"/>
      <c r="B243" s="20" t="n"/>
      <c r="C243" s="20" t="n"/>
      <c r="D243" s="20" t="n"/>
      <c r="E243" s="20" t="n"/>
      <c r="F243" s="21" t="n"/>
      <c r="G243" s="21" t="n"/>
      <c r="H243" s="20" t="n"/>
      <c r="I243" s="22" t="n"/>
      <c r="J243" s="19">
        <f>IF(OR(F243="",G243=""),"",MAX(0,G243-F243))</f>
        <v/>
      </c>
      <c r="K243" s="23">
        <f>IF(OR(I243="",J243=""),"",I243*J243)</f>
        <v/>
      </c>
      <c r="L243" s="22" t="n"/>
      <c r="M243" s="23">
        <f>IF(K243="","",MAX(0,K243-IF(L243="",0,L243)))</f>
        <v/>
      </c>
      <c r="N243" s="20" t="n"/>
      <c r="O243" s="20" t="n"/>
      <c r="P243" s="20" t="n"/>
      <c r="Q243" s="20" t="n"/>
      <c r="R243" s="20" t="n"/>
      <c r="S243" s="19">
        <f>IF(A243="","",IF(COUNTIF('Email Log'!B:B,A243)&gt;0,"YES","NO"))</f>
        <v/>
      </c>
    </row>
    <row r="244">
      <c r="A244" s="20" t="n"/>
      <c r="B244" s="20" t="n"/>
      <c r="C244" s="20" t="n"/>
      <c r="D244" s="20" t="n"/>
      <c r="E244" s="20" t="n"/>
      <c r="F244" s="21" t="n"/>
      <c r="G244" s="21" t="n"/>
      <c r="H244" s="20" t="n"/>
      <c r="I244" s="22" t="n"/>
      <c r="J244" s="19">
        <f>IF(OR(F244="",G244=""),"",MAX(0,G244-F244))</f>
        <v/>
      </c>
      <c r="K244" s="23">
        <f>IF(OR(I244="",J244=""),"",I244*J244)</f>
        <v/>
      </c>
      <c r="L244" s="22" t="n"/>
      <c r="M244" s="23">
        <f>IF(K244="","",MAX(0,K244-IF(L244="",0,L244)))</f>
        <v/>
      </c>
      <c r="N244" s="20" t="n"/>
      <c r="O244" s="20" t="n"/>
      <c r="P244" s="20" t="n"/>
      <c r="Q244" s="20" t="n"/>
      <c r="R244" s="20" t="n"/>
      <c r="S244" s="19">
        <f>IF(A244="","",IF(COUNTIF('Email Log'!B:B,A244)&gt;0,"YES","NO"))</f>
        <v/>
      </c>
    </row>
    <row r="245">
      <c r="A245" s="20" t="n"/>
      <c r="B245" s="20" t="n"/>
      <c r="C245" s="20" t="n"/>
      <c r="D245" s="20" t="n"/>
      <c r="E245" s="20" t="n"/>
      <c r="F245" s="21" t="n"/>
      <c r="G245" s="21" t="n"/>
      <c r="H245" s="20" t="n"/>
      <c r="I245" s="22" t="n"/>
      <c r="J245" s="19">
        <f>IF(OR(F245="",G245=""),"",MAX(0,G245-F245))</f>
        <v/>
      </c>
      <c r="K245" s="23">
        <f>IF(OR(I245="",J245=""),"",I245*J245)</f>
        <v/>
      </c>
      <c r="L245" s="22" t="n"/>
      <c r="M245" s="23">
        <f>IF(K245="","",MAX(0,K245-IF(L245="",0,L245)))</f>
        <v/>
      </c>
      <c r="N245" s="20" t="n"/>
      <c r="O245" s="20" t="n"/>
      <c r="P245" s="20" t="n"/>
      <c r="Q245" s="20" t="n"/>
      <c r="R245" s="20" t="n"/>
      <c r="S245" s="19">
        <f>IF(A245="","",IF(COUNTIF('Email Log'!B:B,A245)&gt;0,"YES","NO"))</f>
        <v/>
      </c>
    </row>
    <row r="246">
      <c r="A246" s="20" t="n"/>
      <c r="B246" s="20" t="n"/>
      <c r="C246" s="20" t="n"/>
      <c r="D246" s="20" t="n"/>
      <c r="E246" s="20" t="n"/>
      <c r="F246" s="21" t="n"/>
      <c r="G246" s="21" t="n"/>
      <c r="H246" s="20" t="n"/>
      <c r="I246" s="22" t="n"/>
      <c r="J246" s="19">
        <f>IF(OR(F246="",G246=""),"",MAX(0,G246-F246))</f>
        <v/>
      </c>
      <c r="K246" s="23">
        <f>IF(OR(I246="",J246=""),"",I246*J246)</f>
        <v/>
      </c>
      <c r="L246" s="22" t="n"/>
      <c r="M246" s="23">
        <f>IF(K246="","",MAX(0,K246-IF(L246="",0,L246)))</f>
        <v/>
      </c>
      <c r="N246" s="20" t="n"/>
      <c r="O246" s="20" t="n"/>
      <c r="P246" s="20" t="n"/>
      <c r="Q246" s="20" t="n"/>
      <c r="R246" s="20" t="n"/>
      <c r="S246" s="19">
        <f>IF(A246="","",IF(COUNTIF('Email Log'!B:B,A246)&gt;0,"YES","NO"))</f>
        <v/>
      </c>
    </row>
    <row r="247">
      <c r="A247" s="20" t="n"/>
      <c r="B247" s="20" t="n"/>
      <c r="C247" s="20" t="n"/>
      <c r="D247" s="20" t="n"/>
      <c r="E247" s="20" t="n"/>
      <c r="F247" s="21" t="n"/>
      <c r="G247" s="21" t="n"/>
      <c r="H247" s="20" t="n"/>
      <c r="I247" s="22" t="n"/>
      <c r="J247" s="19">
        <f>IF(OR(F247="",G247=""),"",MAX(0,G247-F247))</f>
        <v/>
      </c>
      <c r="K247" s="23">
        <f>IF(OR(I247="",J247=""),"",I247*J247)</f>
        <v/>
      </c>
      <c r="L247" s="22" t="n"/>
      <c r="M247" s="23">
        <f>IF(K247="","",MAX(0,K247-IF(L247="",0,L247)))</f>
        <v/>
      </c>
      <c r="N247" s="20" t="n"/>
      <c r="O247" s="20" t="n"/>
      <c r="P247" s="20" t="n"/>
      <c r="Q247" s="20" t="n"/>
      <c r="R247" s="20" t="n"/>
      <c r="S247" s="19">
        <f>IF(A247="","",IF(COUNTIF('Email Log'!B:B,A247)&gt;0,"YES","NO"))</f>
        <v/>
      </c>
    </row>
    <row r="248">
      <c r="A248" s="20" t="n"/>
      <c r="B248" s="20" t="n"/>
      <c r="C248" s="20" t="n"/>
      <c r="D248" s="20" t="n"/>
      <c r="E248" s="20" t="n"/>
      <c r="F248" s="21" t="n"/>
      <c r="G248" s="21" t="n"/>
      <c r="H248" s="20" t="n"/>
      <c r="I248" s="22" t="n"/>
      <c r="J248" s="19">
        <f>IF(OR(F248="",G248=""),"",MAX(0,G248-F248))</f>
        <v/>
      </c>
      <c r="K248" s="23">
        <f>IF(OR(I248="",J248=""),"",I248*J248)</f>
        <v/>
      </c>
      <c r="L248" s="22" t="n"/>
      <c r="M248" s="23">
        <f>IF(K248="","",MAX(0,K248-IF(L248="",0,L248)))</f>
        <v/>
      </c>
      <c r="N248" s="20" t="n"/>
      <c r="O248" s="20" t="n"/>
      <c r="P248" s="20" t="n"/>
      <c r="Q248" s="20" t="n"/>
      <c r="R248" s="20" t="n"/>
      <c r="S248" s="19">
        <f>IF(A248="","",IF(COUNTIF('Email Log'!B:B,A248)&gt;0,"YES","NO"))</f>
        <v/>
      </c>
    </row>
    <row r="249">
      <c r="A249" s="20" t="n"/>
      <c r="B249" s="20" t="n"/>
      <c r="C249" s="20" t="n"/>
      <c r="D249" s="20" t="n"/>
      <c r="E249" s="20" t="n"/>
      <c r="F249" s="21" t="n"/>
      <c r="G249" s="21" t="n"/>
      <c r="H249" s="20" t="n"/>
      <c r="I249" s="22" t="n"/>
      <c r="J249" s="19">
        <f>IF(OR(F249="",G249=""),"",MAX(0,G249-F249))</f>
        <v/>
      </c>
      <c r="K249" s="23">
        <f>IF(OR(I249="",J249=""),"",I249*J249)</f>
        <v/>
      </c>
      <c r="L249" s="22" t="n"/>
      <c r="M249" s="23">
        <f>IF(K249="","",MAX(0,K249-IF(L249="",0,L249)))</f>
        <v/>
      </c>
      <c r="N249" s="20" t="n"/>
      <c r="O249" s="20" t="n"/>
      <c r="P249" s="20" t="n"/>
      <c r="Q249" s="20" t="n"/>
      <c r="R249" s="20" t="n"/>
      <c r="S249" s="19">
        <f>IF(A249="","",IF(COUNTIF('Email Log'!B:B,A249)&gt;0,"YES","NO"))</f>
        <v/>
      </c>
    </row>
    <row r="250">
      <c r="A250" s="20" t="n"/>
      <c r="B250" s="20" t="n"/>
      <c r="C250" s="20" t="n"/>
      <c r="D250" s="20" t="n"/>
      <c r="E250" s="20" t="n"/>
      <c r="F250" s="21" t="n"/>
      <c r="G250" s="21" t="n"/>
      <c r="H250" s="20" t="n"/>
      <c r="I250" s="22" t="n"/>
      <c r="J250" s="19">
        <f>IF(OR(F250="",G250=""),"",MAX(0,G250-F250))</f>
        <v/>
      </c>
      <c r="K250" s="23">
        <f>IF(OR(I250="",J250=""),"",I250*J250)</f>
        <v/>
      </c>
      <c r="L250" s="22" t="n"/>
      <c r="M250" s="23">
        <f>IF(K250="","",MAX(0,K250-IF(L250="",0,L250)))</f>
        <v/>
      </c>
      <c r="N250" s="20" t="n"/>
      <c r="O250" s="20" t="n"/>
      <c r="P250" s="20" t="n"/>
      <c r="Q250" s="20" t="n"/>
      <c r="R250" s="20" t="n"/>
      <c r="S250" s="19">
        <f>IF(A250="","",IF(COUNTIF('Email Log'!B:B,A250)&gt;0,"YES","NO"))</f>
        <v/>
      </c>
    </row>
    <row r="251">
      <c r="A251" s="20" t="n"/>
      <c r="B251" s="20" t="n"/>
      <c r="C251" s="20" t="n"/>
      <c r="D251" s="20" t="n"/>
      <c r="E251" s="20" t="n"/>
      <c r="F251" s="21" t="n"/>
      <c r="G251" s="21" t="n"/>
      <c r="H251" s="20" t="n"/>
      <c r="I251" s="22" t="n"/>
      <c r="J251" s="19">
        <f>IF(OR(F251="",G251=""),"",MAX(0,G251-F251))</f>
        <v/>
      </c>
      <c r="K251" s="23">
        <f>IF(OR(I251="",J251=""),"",I251*J251)</f>
        <v/>
      </c>
      <c r="L251" s="22" t="n"/>
      <c r="M251" s="23">
        <f>IF(K251="","",MAX(0,K251-IF(L251="",0,L251)))</f>
        <v/>
      </c>
      <c r="N251" s="20" t="n"/>
      <c r="O251" s="20" t="n"/>
      <c r="P251" s="20" t="n"/>
      <c r="Q251" s="20" t="n"/>
      <c r="R251" s="20" t="n"/>
      <c r="S251" s="19">
        <f>IF(A251="","",IF(COUNTIF('Email Log'!B:B,A251)&gt;0,"YES","NO"))</f>
        <v/>
      </c>
    </row>
    <row r="252">
      <c r="A252" s="20" t="n"/>
      <c r="B252" s="20" t="n"/>
      <c r="C252" s="20" t="n"/>
      <c r="D252" s="20" t="n"/>
      <c r="E252" s="20" t="n"/>
      <c r="F252" s="21" t="n"/>
      <c r="G252" s="21" t="n"/>
      <c r="H252" s="20" t="n"/>
      <c r="I252" s="22" t="n"/>
      <c r="J252" s="19">
        <f>IF(OR(F252="",G252=""),"",MAX(0,G252-F252))</f>
        <v/>
      </c>
      <c r="K252" s="23">
        <f>IF(OR(I252="",J252=""),"",I252*J252)</f>
        <v/>
      </c>
      <c r="L252" s="22" t="n"/>
      <c r="M252" s="23">
        <f>IF(K252="","",MAX(0,K252-IF(L252="",0,L252)))</f>
        <v/>
      </c>
      <c r="N252" s="20" t="n"/>
      <c r="O252" s="20" t="n"/>
      <c r="P252" s="20" t="n"/>
      <c r="Q252" s="20" t="n"/>
      <c r="R252" s="20" t="n"/>
      <c r="S252" s="19">
        <f>IF(A252="","",IF(COUNTIF('Email Log'!B:B,A252)&gt;0,"YES","NO"))</f>
        <v/>
      </c>
    </row>
    <row r="253">
      <c r="A253" s="20" t="n"/>
      <c r="B253" s="20" t="n"/>
      <c r="C253" s="20" t="n"/>
      <c r="D253" s="20" t="n"/>
      <c r="E253" s="20" t="n"/>
      <c r="F253" s="21" t="n"/>
      <c r="G253" s="21" t="n"/>
      <c r="H253" s="20" t="n"/>
      <c r="I253" s="22" t="n"/>
      <c r="J253" s="19">
        <f>IF(OR(F253="",G253=""),"",MAX(0,G253-F253))</f>
        <v/>
      </c>
      <c r="K253" s="23">
        <f>IF(OR(I253="",J253=""),"",I253*J253)</f>
        <v/>
      </c>
      <c r="L253" s="22" t="n"/>
      <c r="M253" s="23">
        <f>IF(K253="","",MAX(0,K253-IF(L253="",0,L253)))</f>
        <v/>
      </c>
      <c r="N253" s="20" t="n"/>
      <c r="O253" s="20" t="n"/>
      <c r="P253" s="20" t="n"/>
      <c r="Q253" s="20" t="n"/>
      <c r="R253" s="20" t="n"/>
      <c r="S253" s="19">
        <f>IF(A253="","",IF(COUNTIF('Email Log'!B:B,A253)&gt;0,"YES","NO"))</f>
        <v/>
      </c>
    </row>
    <row r="254">
      <c r="A254" s="20" t="n"/>
      <c r="B254" s="20" t="n"/>
      <c r="C254" s="20" t="n"/>
      <c r="D254" s="20" t="n"/>
      <c r="E254" s="20" t="n"/>
      <c r="F254" s="21" t="n"/>
      <c r="G254" s="21" t="n"/>
      <c r="H254" s="20" t="n"/>
      <c r="I254" s="22" t="n"/>
      <c r="J254" s="19">
        <f>IF(OR(F254="",G254=""),"",MAX(0,G254-F254))</f>
        <v/>
      </c>
      <c r="K254" s="23">
        <f>IF(OR(I254="",J254=""),"",I254*J254)</f>
        <v/>
      </c>
      <c r="L254" s="22" t="n"/>
      <c r="M254" s="23">
        <f>IF(K254="","",MAX(0,K254-IF(L254="",0,L254)))</f>
        <v/>
      </c>
      <c r="N254" s="20" t="n"/>
      <c r="O254" s="20" t="n"/>
      <c r="P254" s="20" t="n"/>
      <c r="Q254" s="20" t="n"/>
      <c r="R254" s="20" t="n"/>
      <c r="S254" s="19">
        <f>IF(A254="","",IF(COUNTIF('Email Log'!B:B,A254)&gt;0,"YES","NO"))</f>
        <v/>
      </c>
    </row>
    <row r="255">
      <c r="A255" s="20" t="n"/>
      <c r="B255" s="20" t="n"/>
      <c r="C255" s="20" t="n"/>
      <c r="D255" s="20" t="n"/>
      <c r="E255" s="20" t="n"/>
      <c r="F255" s="21" t="n"/>
      <c r="G255" s="21" t="n"/>
      <c r="H255" s="20" t="n"/>
      <c r="I255" s="22" t="n"/>
      <c r="J255" s="19">
        <f>IF(OR(F255="",G255=""),"",MAX(0,G255-F255))</f>
        <v/>
      </c>
      <c r="K255" s="23">
        <f>IF(OR(I255="",J255=""),"",I255*J255)</f>
        <v/>
      </c>
      <c r="L255" s="22" t="n"/>
      <c r="M255" s="23">
        <f>IF(K255="","",MAX(0,K255-IF(L255="",0,L255)))</f>
        <v/>
      </c>
      <c r="N255" s="20" t="n"/>
      <c r="O255" s="20" t="n"/>
      <c r="P255" s="20" t="n"/>
      <c r="Q255" s="20" t="n"/>
      <c r="R255" s="20" t="n"/>
      <c r="S255" s="19">
        <f>IF(A255="","",IF(COUNTIF('Email Log'!B:B,A255)&gt;0,"YES","NO"))</f>
        <v/>
      </c>
    </row>
    <row r="256">
      <c r="A256" s="20" t="n"/>
      <c r="B256" s="20" t="n"/>
      <c r="C256" s="20" t="n"/>
      <c r="D256" s="20" t="n"/>
      <c r="E256" s="20" t="n"/>
      <c r="F256" s="21" t="n"/>
      <c r="G256" s="21" t="n"/>
      <c r="H256" s="20" t="n"/>
      <c r="I256" s="22" t="n"/>
      <c r="J256" s="19">
        <f>IF(OR(F256="",G256=""),"",MAX(0,G256-F256))</f>
        <v/>
      </c>
      <c r="K256" s="23">
        <f>IF(OR(I256="",J256=""),"",I256*J256)</f>
        <v/>
      </c>
      <c r="L256" s="22" t="n"/>
      <c r="M256" s="23">
        <f>IF(K256="","",MAX(0,K256-IF(L256="",0,L256)))</f>
        <v/>
      </c>
      <c r="N256" s="20" t="n"/>
      <c r="O256" s="20" t="n"/>
      <c r="P256" s="20" t="n"/>
      <c r="Q256" s="20" t="n"/>
      <c r="R256" s="20" t="n"/>
      <c r="S256" s="19">
        <f>IF(A256="","",IF(COUNTIF('Email Log'!B:B,A256)&gt;0,"YES","NO"))</f>
        <v/>
      </c>
    </row>
    <row r="257">
      <c r="A257" s="20" t="n"/>
      <c r="B257" s="20" t="n"/>
      <c r="C257" s="20" t="n"/>
      <c r="D257" s="20" t="n"/>
      <c r="E257" s="20" t="n"/>
      <c r="F257" s="21" t="n"/>
      <c r="G257" s="21" t="n"/>
      <c r="H257" s="20" t="n"/>
      <c r="I257" s="22" t="n"/>
      <c r="J257" s="19">
        <f>IF(OR(F257="",G257=""),"",MAX(0,G257-F257))</f>
        <v/>
      </c>
      <c r="K257" s="23">
        <f>IF(OR(I257="",J257=""),"",I257*J257)</f>
        <v/>
      </c>
      <c r="L257" s="22" t="n"/>
      <c r="M257" s="23">
        <f>IF(K257="","",MAX(0,K257-IF(L257="",0,L257)))</f>
        <v/>
      </c>
      <c r="N257" s="20" t="n"/>
      <c r="O257" s="20" t="n"/>
      <c r="P257" s="20" t="n"/>
      <c r="Q257" s="20" t="n"/>
      <c r="R257" s="20" t="n"/>
      <c r="S257" s="19">
        <f>IF(A257="","",IF(COUNTIF('Email Log'!B:B,A257)&gt;0,"YES","NO"))</f>
        <v/>
      </c>
    </row>
    <row r="258">
      <c r="A258" s="20" t="n"/>
      <c r="B258" s="20" t="n"/>
      <c r="C258" s="20" t="n"/>
      <c r="D258" s="20" t="n"/>
      <c r="E258" s="20" t="n"/>
      <c r="F258" s="21" t="n"/>
      <c r="G258" s="21" t="n"/>
      <c r="H258" s="20" t="n"/>
      <c r="I258" s="22" t="n"/>
      <c r="J258" s="19">
        <f>IF(OR(F258="",G258=""),"",MAX(0,G258-F258))</f>
        <v/>
      </c>
      <c r="K258" s="23">
        <f>IF(OR(I258="",J258=""),"",I258*J258)</f>
        <v/>
      </c>
      <c r="L258" s="22" t="n"/>
      <c r="M258" s="23">
        <f>IF(K258="","",MAX(0,K258-IF(L258="",0,L258)))</f>
        <v/>
      </c>
      <c r="N258" s="20" t="n"/>
      <c r="O258" s="20" t="n"/>
      <c r="P258" s="20" t="n"/>
      <c r="Q258" s="20" t="n"/>
      <c r="R258" s="20" t="n"/>
      <c r="S258" s="19">
        <f>IF(A258="","",IF(COUNTIF('Email Log'!B:B,A258)&gt;0,"YES","NO"))</f>
        <v/>
      </c>
    </row>
    <row r="259">
      <c r="A259" s="20" t="n"/>
      <c r="B259" s="20" t="n"/>
      <c r="C259" s="20" t="n"/>
      <c r="D259" s="20" t="n"/>
      <c r="E259" s="20" t="n"/>
      <c r="F259" s="21" t="n"/>
      <c r="G259" s="21" t="n"/>
      <c r="H259" s="20" t="n"/>
      <c r="I259" s="22" t="n"/>
      <c r="J259" s="19">
        <f>IF(OR(F259="",G259=""),"",MAX(0,G259-F259))</f>
        <v/>
      </c>
      <c r="K259" s="23">
        <f>IF(OR(I259="",J259=""),"",I259*J259)</f>
        <v/>
      </c>
      <c r="L259" s="22" t="n"/>
      <c r="M259" s="23">
        <f>IF(K259="","",MAX(0,K259-IF(L259="",0,L259)))</f>
        <v/>
      </c>
      <c r="N259" s="20" t="n"/>
      <c r="O259" s="20" t="n"/>
      <c r="P259" s="20" t="n"/>
      <c r="Q259" s="20" t="n"/>
      <c r="R259" s="20" t="n"/>
      <c r="S259" s="19">
        <f>IF(A259="","",IF(COUNTIF('Email Log'!B:B,A259)&gt;0,"YES","NO"))</f>
        <v/>
      </c>
    </row>
    <row r="260">
      <c r="A260" s="20" t="n"/>
      <c r="B260" s="20" t="n"/>
      <c r="C260" s="20" t="n"/>
      <c r="D260" s="20" t="n"/>
      <c r="E260" s="20" t="n"/>
      <c r="F260" s="21" t="n"/>
      <c r="G260" s="21" t="n"/>
      <c r="H260" s="20" t="n"/>
      <c r="I260" s="22" t="n"/>
      <c r="J260" s="19">
        <f>IF(OR(F260="",G260=""),"",MAX(0,G260-F260))</f>
        <v/>
      </c>
      <c r="K260" s="23">
        <f>IF(OR(I260="",J260=""),"",I260*J260)</f>
        <v/>
      </c>
      <c r="L260" s="22" t="n"/>
      <c r="M260" s="23">
        <f>IF(K260="","",MAX(0,K260-IF(L260="",0,L260)))</f>
        <v/>
      </c>
      <c r="N260" s="20" t="n"/>
      <c r="O260" s="20" t="n"/>
      <c r="P260" s="20" t="n"/>
      <c r="Q260" s="20" t="n"/>
      <c r="R260" s="20" t="n"/>
      <c r="S260" s="19">
        <f>IF(A260="","",IF(COUNTIF('Email Log'!B:B,A260)&gt;0,"YES","NO"))</f>
        <v/>
      </c>
    </row>
    <row r="261">
      <c r="A261" s="20" t="n"/>
      <c r="B261" s="20" t="n"/>
      <c r="C261" s="20" t="n"/>
      <c r="D261" s="20" t="n"/>
      <c r="E261" s="20" t="n"/>
      <c r="F261" s="21" t="n"/>
      <c r="G261" s="21" t="n"/>
      <c r="H261" s="20" t="n"/>
      <c r="I261" s="22" t="n"/>
      <c r="J261" s="19">
        <f>IF(OR(F261="",G261=""),"",MAX(0,G261-F261))</f>
        <v/>
      </c>
      <c r="K261" s="23">
        <f>IF(OR(I261="",J261=""),"",I261*J261)</f>
        <v/>
      </c>
      <c r="L261" s="22" t="n"/>
      <c r="M261" s="23">
        <f>IF(K261="","",MAX(0,K261-IF(L261="",0,L261)))</f>
        <v/>
      </c>
      <c r="N261" s="20" t="n"/>
      <c r="O261" s="20" t="n"/>
      <c r="P261" s="20" t="n"/>
      <c r="Q261" s="20" t="n"/>
      <c r="R261" s="20" t="n"/>
      <c r="S261" s="19">
        <f>IF(A261="","",IF(COUNTIF('Email Log'!B:B,A261)&gt;0,"YES","NO"))</f>
        <v/>
      </c>
    </row>
    <row r="262">
      <c r="A262" s="20" t="n"/>
      <c r="B262" s="20" t="n"/>
      <c r="C262" s="20" t="n"/>
      <c r="D262" s="20" t="n"/>
      <c r="E262" s="20" t="n"/>
      <c r="F262" s="21" t="n"/>
      <c r="G262" s="21" t="n"/>
      <c r="H262" s="20" t="n"/>
      <c r="I262" s="22" t="n"/>
      <c r="J262" s="19">
        <f>IF(OR(F262="",G262=""),"",MAX(0,G262-F262))</f>
        <v/>
      </c>
      <c r="K262" s="23">
        <f>IF(OR(I262="",J262=""),"",I262*J262)</f>
        <v/>
      </c>
      <c r="L262" s="22" t="n"/>
      <c r="M262" s="23">
        <f>IF(K262="","",MAX(0,K262-IF(L262="",0,L262)))</f>
        <v/>
      </c>
      <c r="N262" s="20" t="n"/>
      <c r="O262" s="20" t="n"/>
      <c r="P262" s="20" t="n"/>
      <c r="Q262" s="20" t="n"/>
      <c r="R262" s="20" t="n"/>
      <c r="S262" s="19">
        <f>IF(A262="","",IF(COUNTIF('Email Log'!B:B,A262)&gt;0,"YES","NO"))</f>
        <v/>
      </c>
    </row>
    <row r="263">
      <c r="A263" s="20" t="n"/>
      <c r="B263" s="20" t="n"/>
      <c r="C263" s="20" t="n"/>
      <c r="D263" s="20" t="n"/>
      <c r="E263" s="20" t="n"/>
      <c r="F263" s="21" t="n"/>
      <c r="G263" s="21" t="n"/>
      <c r="H263" s="20" t="n"/>
      <c r="I263" s="22" t="n"/>
      <c r="J263" s="19">
        <f>IF(OR(F263="",G263=""),"",MAX(0,G263-F263))</f>
        <v/>
      </c>
      <c r="K263" s="23">
        <f>IF(OR(I263="",J263=""),"",I263*J263)</f>
        <v/>
      </c>
      <c r="L263" s="22" t="n"/>
      <c r="M263" s="23">
        <f>IF(K263="","",MAX(0,K263-IF(L263="",0,L263)))</f>
        <v/>
      </c>
      <c r="N263" s="20" t="n"/>
      <c r="O263" s="20" t="n"/>
      <c r="P263" s="20" t="n"/>
      <c r="Q263" s="20" t="n"/>
      <c r="R263" s="20" t="n"/>
      <c r="S263" s="19">
        <f>IF(A263="","",IF(COUNTIF('Email Log'!B:B,A263)&gt;0,"YES","NO"))</f>
        <v/>
      </c>
    </row>
    <row r="264">
      <c r="A264" s="20" t="n"/>
      <c r="B264" s="20" t="n"/>
      <c r="C264" s="20" t="n"/>
      <c r="D264" s="20" t="n"/>
      <c r="E264" s="20" t="n"/>
      <c r="F264" s="21" t="n"/>
      <c r="G264" s="21" t="n"/>
      <c r="H264" s="20" t="n"/>
      <c r="I264" s="22" t="n"/>
      <c r="J264" s="19">
        <f>IF(OR(F264="",G264=""),"",MAX(0,G264-F264))</f>
        <v/>
      </c>
      <c r="K264" s="23">
        <f>IF(OR(I264="",J264=""),"",I264*J264)</f>
        <v/>
      </c>
      <c r="L264" s="22" t="n"/>
      <c r="M264" s="23">
        <f>IF(K264="","",MAX(0,K264-IF(L264="",0,L264)))</f>
        <v/>
      </c>
      <c r="N264" s="20" t="n"/>
      <c r="O264" s="20" t="n"/>
      <c r="P264" s="20" t="n"/>
      <c r="Q264" s="20" t="n"/>
      <c r="R264" s="20" t="n"/>
      <c r="S264" s="19">
        <f>IF(A264="","",IF(COUNTIF('Email Log'!B:B,A264)&gt;0,"YES","NO"))</f>
        <v/>
      </c>
    </row>
    <row r="265">
      <c r="A265" s="20" t="n"/>
      <c r="B265" s="20" t="n"/>
      <c r="C265" s="20" t="n"/>
      <c r="D265" s="20" t="n"/>
      <c r="E265" s="20" t="n"/>
      <c r="F265" s="21" t="n"/>
      <c r="G265" s="21" t="n"/>
      <c r="H265" s="20" t="n"/>
      <c r="I265" s="22" t="n"/>
      <c r="J265" s="19">
        <f>IF(OR(F265="",G265=""),"",MAX(0,G265-F265))</f>
        <v/>
      </c>
      <c r="K265" s="23">
        <f>IF(OR(I265="",J265=""),"",I265*J265)</f>
        <v/>
      </c>
      <c r="L265" s="22" t="n"/>
      <c r="M265" s="23">
        <f>IF(K265="","",MAX(0,K265-IF(L265="",0,L265)))</f>
        <v/>
      </c>
      <c r="N265" s="20" t="n"/>
      <c r="O265" s="20" t="n"/>
      <c r="P265" s="20" t="n"/>
      <c r="Q265" s="20" t="n"/>
      <c r="R265" s="20" t="n"/>
      <c r="S265" s="19">
        <f>IF(A265="","",IF(COUNTIF('Email Log'!B:B,A265)&gt;0,"YES","NO"))</f>
        <v/>
      </c>
    </row>
    <row r="266">
      <c r="A266" s="20" t="n"/>
      <c r="B266" s="20" t="n"/>
      <c r="C266" s="20" t="n"/>
      <c r="D266" s="20" t="n"/>
      <c r="E266" s="20" t="n"/>
      <c r="F266" s="21" t="n"/>
      <c r="G266" s="21" t="n"/>
      <c r="H266" s="20" t="n"/>
      <c r="I266" s="22" t="n"/>
      <c r="J266" s="19">
        <f>IF(OR(F266="",G266=""),"",MAX(0,G266-F266))</f>
        <v/>
      </c>
      <c r="K266" s="23">
        <f>IF(OR(I266="",J266=""),"",I266*J266)</f>
        <v/>
      </c>
      <c r="L266" s="22" t="n"/>
      <c r="M266" s="23">
        <f>IF(K266="","",MAX(0,K266-IF(L266="",0,L266)))</f>
        <v/>
      </c>
      <c r="N266" s="20" t="n"/>
      <c r="O266" s="20" t="n"/>
      <c r="P266" s="20" t="n"/>
      <c r="Q266" s="20" t="n"/>
      <c r="R266" s="20" t="n"/>
      <c r="S266" s="19">
        <f>IF(A266="","",IF(COUNTIF('Email Log'!B:B,A266)&gt;0,"YES","NO"))</f>
        <v/>
      </c>
    </row>
    <row r="267">
      <c r="A267" s="20" t="n"/>
      <c r="B267" s="20" t="n"/>
      <c r="C267" s="20" t="n"/>
      <c r="D267" s="20" t="n"/>
      <c r="E267" s="20" t="n"/>
      <c r="F267" s="21" t="n"/>
      <c r="G267" s="21" t="n"/>
      <c r="H267" s="20" t="n"/>
      <c r="I267" s="22" t="n"/>
      <c r="J267" s="19">
        <f>IF(OR(F267="",G267=""),"",MAX(0,G267-F267))</f>
        <v/>
      </c>
      <c r="K267" s="23">
        <f>IF(OR(I267="",J267=""),"",I267*J267)</f>
        <v/>
      </c>
      <c r="L267" s="22" t="n"/>
      <c r="M267" s="23">
        <f>IF(K267="","",MAX(0,K267-IF(L267="",0,L267)))</f>
        <v/>
      </c>
      <c r="N267" s="20" t="n"/>
      <c r="O267" s="20" t="n"/>
      <c r="P267" s="20" t="n"/>
      <c r="Q267" s="20" t="n"/>
      <c r="R267" s="20" t="n"/>
      <c r="S267" s="19">
        <f>IF(A267="","",IF(COUNTIF('Email Log'!B:B,A267)&gt;0,"YES","NO"))</f>
        <v/>
      </c>
    </row>
    <row r="268">
      <c r="A268" s="20" t="n"/>
      <c r="B268" s="20" t="n"/>
      <c r="C268" s="20" t="n"/>
      <c r="D268" s="20" t="n"/>
      <c r="E268" s="20" t="n"/>
      <c r="F268" s="21" t="n"/>
      <c r="G268" s="21" t="n"/>
      <c r="H268" s="20" t="n"/>
      <c r="I268" s="22" t="n"/>
      <c r="J268" s="19">
        <f>IF(OR(F268="",G268=""),"",MAX(0,G268-F268))</f>
        <v/>
      </c>
      <c r="K268" s="23">
        <f>IF(OR(I268="",J268=""),"",I268*J268)</f>
        <v/>
      </c>
      <c r="L268" s="22" t="n"/>
      <c r="M268" s="23">
        <f>IF(K268="","",MAX(0,K268-IF(L268="",0,L268)))</f>
        <v/>
      </c>
      <c r="N268" s="20" t="n"/>
      <c r="O268" s="20" t="n"/>
      <c r="P268" s="20" t="n"/>
      <c r="Q268" s="20" t="n"/>
      <c r="R268" s="20" t="n"/>
      <c r="S268" s="19">
        <f>IF(A268="","",IF(COUNTIF('Email Log'!B:B,A268)&gt;0,"YES","NO"))</f>
        <v/>
      </c>
    </row>
    <row r="269">
      <c r="A269" s="20" t="n"/>
      <c r="B269" s="20" t="n"/>
      <c r="C269" s="20" t="n"/>
      <c r="D269" s="20" t="n"/>
      <c r="E269" s="20" t="n"/>
      <c r="F269" s="21" t="n"/>
      <c r="G269" s="21" t="n"/>
      <c r="H269" s="20" t="n"/>
      <c r="I269" s="22" t="n"/>
      <c r="J269" s="19">
        <f>IF(OR(F269="",G269=""),"",MAX(0,G269-F269))</f>
        <v/>
      </c>
      <c r="K269" s="23">
        <f>IF(OR(I269="",J269=""),"",I269*J269)</f>
        <v/>
      </c>
      <c r="L269" s="22" t="n"/>
      <c r="M269" s="23">
        <f>IF(K269="","",MAX(0,K269-IF(L269="",0,L269)))</f>
        <v/>
      </c>
      <c r="N269" s="20" t="n"/>
      <c r="O269" s="20" t="n"/>
      <c r="P269" s="20" t="n"/>
      <c r="Q269" s="20" t="n"/>
      <c r="R269" s="20" t="n"/>
      <c r="S269" s="19">
        <f>IF(A269="","",IF(COUNTIF('Email Log'!B:B,A269)&gt;0,"YES","NO"))</f>
        <v/>
      </c>
    </row>
    <row r="270">
      <c r="A270" s="20" t="n"/>
      <c r="B270" s="20" t="n"/>
      <c r="C270" s="20" t="n"/>
      <c r="D270" s="20" t="n"/>
      <c r="E270" s="20" t="n"/>
      <c r="F270" s="21" t="n"/>
      <c r="G270" s="21" t="n"/>
      <c r="H270" s="20" t="n"/>
      <c r="I270" s="22" t="n"/>
      <c r="J270" s="19">
        <f>IF(OR(F270="",G270=""),"",MAX(0,G270-F270))</f>
        <v/>
      </c>
      <c r="K270" s="23">
        <f>IF(OR(I270="",J270=""),"",I270*J270)</f>
        <v/>
      </c>
      <c r="L270" s="22" t="n"/>
      <c r="M270" s="23">
        <f>IF(K270="","",MAX(0,K270-IF(L270="",0,L270)))</f>
        <v/>
      </c>
      <c r="N270" s="20" t="n"/>
      <c r="O270" s="20" t="n"/>
      <c r="P270" s="20" t="n"/>
      <c r="Q270" s="20" t="n"/>
      <c r="R270" s="20" t="n"/>
      <c r="S270" s="19">
        <f>IF(A270="","",IF(COUNTIF('Email Log'!B:B,A270)&gt;0,"YES","NO"))</f>
        <v/>
      </c>
    </row>
    <row r="271">
      <c r="A271" s="20" t="n"/>
      <c r="B271" s="20" t="n"/>
      <c r="C271" s="20" t="n"/>
      <c r="D271" s="20" t="n"/>
      <c r="E271" s="20" t="n"/>
      <c r="F271" s="21" t="n"/>
      <c r="G271" s="21" t="n"/>
      <c r="H271" s="20" t="n"/>
      <c r="I271" s="22" t="n"/>
      <c r="J271" s="19">
        <f>IF(OR(F271="",G271=""),"",MAX(0,G271-F271))</f>
        <v/>
      </c>
      <c r="K271" s="23">
        <f>IF(OR(I271="",J271=""),"",I271*J271)</f>
        <v/>
      </c>
      <c r="L271" s="22" t="n"/>
      <c r="M271" s="23">
        <f>IF(K271="","",MAX(0,K271-IF(L271="",0,L271)))</f>
        <v/>
      </c>
      <c r="N271" s="20" t="n"/>
      <c r="O271" s="20" t="n"/>
      <c r="P271" s="20" t="n"/>
      <c r="Q271" s="20" t="n"/>
      <c r="R271" s="20" t="n"/>
      <c r="S271" s="19">
        <f>IF(A271="","",IF(COUNTIF('Email Log'!B:B,A271)&gt;0,"YES","NO"))</f>
        <v/>
      </c>
    </row>
    <row r="272">
      <c r="A272" s="20" t="n"/>
      <c r="B272" s="20" t="n"/>
      <c r="C272" s="20" t="n"/>
      <c r="D272" s="20" t="n"/>
      <c r="E272" s="20" t="n"/>
      <c r="F272" s="21" t="n"/>
      <c r="G272" s="21" t="n"/>
      <c r="H272" s="20" t="n"/>
      <c r="I272" s="22" t="n"/>
      <c r="J272" s="19">
        <f>IF(OR(F272="",G272=""),"",MAX(0,G272-F272))</f>
        <v/>
      </c>
      <c r="K272" s="23">
        <f>IF(OR(I272="",J272=""),"",I272*J272)</f>
        <v/>
      </c>
      <c r="L272" s="22" t="n"/>
      <c r="M272" s="23">
        <f>IF(K272="","",MAX(0,K272-IF(L272="",0,L272)))</f>
        <v/>
      </c>
      <c r="N272" s="20" t="n"/>
      <c r="O272" s="20" t="n"/>
      <c r="P272" s="20" t="n"/>
      <c r="Q272" s="20" t="n"/>
      <c r="R272" s="20" t="n"/>
      <c r="S272" s="19">
        <f>IF(A272="","",IF(COUNTIF('Email Log'!B:B,A272)&gt;0,"YES","NO"))</f>
        <v/>
      </c>
    </row>
    <row r="273">
      <c r="A273" s="20" t="n"/>
      <c r="B273" s="20" t="n"/>
      <c r="C273" s="20" t="n"/>
      <c r="D273" s="20" t="n"/>
      <c r="E273" s="20" t="n"/>
      <c r="F273" s="21" t="n"/>
      <c r="G273" s="21" t="n"/>
      <c r="H273" s="20" t="n"/>
      <c r="I273" s="22" t="n"/>
      <c r="J273" s="19">
        <f>IF(OR(F273="",G273=""),"",MAX(0,G273-F273))</f>
        <v/>
      </c>
      <c r="K273" s="23">
        <f>IF(OR(I273="",J273=""),"",I273*J273)</f>
        <v/>
      </c>
      <c r="L273" s="22" t="n"/>
      <c r="M273" s="23">
        <f>IF(K273="","",MAX(0,K273-IF(L273="",0,L273)))</f>
        <v/>
      </c>
      <c r="N273" s="20" t="n"/>
      <c r="O273" s="20" t="n"/>
      <c r="P273" s="20" t="n"/>
      <c r="Q273" s="20" t="n"/>
      <c r="R273" s="20" t="n"/>
      <c r="S273" s="19">
        <f>IF(A273="","",IF(COUNTIF('Email Log'!B:B,A273)&gt;0,"YES","NO"))</f>
        <v/>
      </c>
    </row>
    <row r="274">
      <c r="A274" s="20" t="n"/>
      <c r="B274" s="20" t="n"/>
      <c r="C274" s="20" t="n"/>
      <c r="D274" s="20" t="n"/>
      <c r="E274" s="20" t="n"/>
      <c r="F274" s="21" t="n"/>
      <c r="G274" s="21" t="n"/>
      <c r="H274" s="20" t="n"/>
      <c r="I274" s="22" t="n"/>
      <c r="J274" s="19">
        <f>IF(OR(F274="",G274=""),"",MAX(0,G274-F274))</f>
        <v/>
      </c>
      <c r="K274" s="23">
        <f>IF(OR(I274="",J274=""),"",I274*J274)</f>
        <v/>
      </c>
      <c r="L274" s="22" t="n"/>
      <c r="M274" s="23">
        <f>IF(K274="","",MAX(0,K274-IF(L274="",0,L274)))</f>
        <v/>
      </c>
      <c r="N274" s="20" t="n"/>
      <c r="O274" s="20" t="n"/>
      <c r="P274" s="20" t="n"/>
      <c r="Q274" s="20" t="n"/>
      <c r="R274" s="20" t="n"/>
      <c r="S274" s="19">
        <f>IF(A274="","",IF(COUNTIF('Email Log'!B:B,A274)&gt;0,"YES","NO"))</f>
        <v/>
      </c>
    </row>
    <row r="275">
      <c r="A275" s="20" t="n"/>
      <c r="B275" s="20" t="n"/>
      <c r="C275" s="20" t="n"/>
      <c r="D275" s="20" t="n"/>
      <c r="E275" s="20" t="n"/>
      <c r="F275" s="21" t="n"/>
      <c r="G275" s="21" t="n"/>
      <c r="H275" s="20" t="n"/>
      <c r="I275" s="22" t="n"/>
      <c r="J275" s="19">
        <f>IF(OR(F275="",G275=""),"",MAX(0,G275-F275))</f>
        <v/>
      </c>
      <c r="K275" s="23">
        <f>IF(OR(I275="",J275=""),"",I275*J275)</f>
        <v/>
      </c>
      <c r="L275" s="22" t="n"/>
      <c r="M275" s="23">
        <f>IF(K275="","",MAX(0,K275-IF(L275="",0,L275)))</f>
        <v/>
      </c>
      <c r="N275" s="20" t="n"/>
      <c r="O275" s="20" t="n"/>
      <c r="P275" s="20" t="n"/>
      <c r="Q275" s="20" t="n"/>
      <c r="R275" s="20" t="n"/>
      <c r="S275" s="19">
        <f>IF(A275="","",IF(COUNTIF('Email Log'!B:B,A275)&gt;0,"YES","NO"))</f>
        <v/>
      </c>
    </row>
    <row r="276">
      <c r="A276" s="20" t="n"/>
      <c r="B276" s="20" t="n"/>
      <c r="C276" s="20" t="n"/>
      <c r="D276" s="20" t="n"/>
      <c r="E276" s="20" t="n"/>
      <c r="F276" s="21" t="n"/>
      <c r="G276" s="21" t="n"/>
      <c r="H276" s="20" t="n"/>
      <c r="I276" s="22" t="n"/>
      <c r="J276" s="19">
        <f>IF(OR(F276="",G276=""),"",MAX(0,G276-F276))</f>
        <v/>
      </c>
      <c r="K276" s="23">
        <f>IF(OR(I276="",J276=""),"",I276*J276)</f>
        <v/>
      </c>
      <c r="L276" s="22" t="n"/>
      <c r="M276" s="23">
        <f>IF(K276="","",MAX(0,K276-IF(L276="",0,L276)))</f>
        <v/>
      </c>
      <c r="N276" s="20" t="n"/>
      <c r="O276" s="20" t="n"/>
      <c r="P276" s="20" t="n"/>
      <c r="Q276" s="20" t="n"/>
      <c r="R276" s="20" t="n"/>
      <c r="S276" s="19">
        <f>IF(A276="","",IF(COUNTIF('Email Log'!B:B,A276)&gt;0,"YES","NO"))</f>
        <v/>
      </c>
    </row>
    <row r="277">
      <c r="A277" s="20" t="n"/>
      <c r="B277" s="20" t="n"/>
      <c r="C277" s="20" t="n"/>
      <c r="D277" s="20" t="n"/>
      <c r="E277" s="20" t="n"/>
      <c r="F277" s="21" t="n"/>
      <c r="G277" s="21" t="n"/>
      <c r="H277" s="20" t="n"/>
      <c r="I277" s="22" t="n"/>
      <c r="J277" s="19">
        <f>IF(OR(F277="",G277=""),"",MAX(0,G277-F277))</f>
        <v/>
      </c>
      <c r="K277" s="23">
        <f>IF(OR(I277="",J277=""),"",I277*J277)</f>
        <v/>
      </c>
      <c r="L277" s="22" t="n"/>
      <c r="M277" s="23">
        <f>IF(K277="","",MAX(0,K277-IF(L277="",0,L277)))</f>
        <v/>
      </c>
      <c r="N277" s="20" t="n"/>
      <c r="O277" s="20" t="n"/>
      <c r="P277" s="20" t="n"/>
      <c r="Q277" s="20" t="n"/>
      <c r="R277" s="20" t="n"/>
      <c r="S277" s="19">
        <f>IF(A277="","",IF(COUNTIF('Email Log'!B:B,A277)&gt;0,"YES","NO"))</f>
        <v/>
      </c>
    </row>
    <row r="278">
      <c r="A278" s="20" t="n"/>
      <c r="B278" s="20" t="n"/>
      <c r="C278" s="20" t="n"/>
      <c r="D278" s="20" t="n"/>
      <c r="E278" s="20" t="n"/>
      <c r="F278" s="21" t="n"/>
      <c r="G278" s="21" t="n"/>
      <c r="H278" s="20" t="n"/>
      <c r="I278" s="22" t="n"/>
      <c r="J278" s="19">
        <f>IF(OR(F278="",G278=""),"",MAX(0,G278-F278))</f>
        <v/>
      </c>
      <c r="K278" s="23">
        <f>IF(OR(I278="",J278=""),"",I278*J278)</f>
        <v/>
      </c>
      <c r="L278" s="22" t="n"/>
      <c r="M278" s="23">
        <f>IF(K278="","",MAX(0,K278-IF(L278="",0,L278)))</f>
        <v/>
      </c>
      <c r="N278" s="20" t="n"/>
      <c r="O278" s="20" t="n"/>
      <c r="P278" s="20" t="n"/>
      <c r="Q278" s="20" t="n"/>
      <c r="R278" s="20" t="n"/>
      <c r="S278" s="19">
        <f>IF(A278="","",IF(COUNTIF('Email Log'!B:B,A278)&gt;0,"YES","NO"))</f>
        <v/>
      </c>
    </row>
    <row r="279">
      <c r="A279" s="20" t="n"/>
      <c r="B279" s="20" t="n"/>
      <c r="C279" s="20" t="n"/>
      <c r="D279" s="20" t="n"/>
      <c r="E279" s="20" t="n"/>
      <c r="F279" s="21" t="n"/>
      <c r="G279" s="21" t="n"/>
      <c r="H279" s="20" t="n"/>
      <c r="I279" s="22" t="n"/>
      <c r="J279" s="19">
        <f>IF(OR(F279="",G279=""),"",MAX(0,G279-F279))</f>
        <v/>
      </c>
      <c r="K279" s="23">
        <f>IF(OR(I279="",J279=""),"",I279*J279)</f>
        <v/>
      </c>
      <c r="L279" s="22" t="n"/>
      <c r="M279" s="23">
        <f>IF(K279="","",MAX(0,K279-IF(L279="",0,L279)))</f>
        <v/>
      </c>
      <c r="N279" s="20" t="n"/>
      <c r="O279" s="20" t="n"/>
      <c r="P279" s="20" t="n"/>
      <c r="Q279" s="20" t="n"/>
      <c r="R279" s="20" t="n"/>
      <c r="S279" s="19">
        <f>IF(A279="","",IF(COUNTIF('Email Log'!B:B,A279)&gt;0,"YES","NO"))</f>
        <v/>
      </c>
    </row>
    <row r="280">
      <c r="A280" s="20" t="n"/>
      <c r="B280" s="20" t="n"/>
      <c r="C280" s="20" t="n"/>
      <c r="D280" s="20" t="n"/>
      <c r="E280" s="20" t="n"/>
      <c r="F280" s="21" t="n"/>
      <c r="G280" s="21" t="n"/>
      <c r="H280" s="20" t="n"/>
      <c r="I280" s="22" t="n"/>
      <c r="J280" s="19">
        <f>IF(OR(F280="",G280=""),"",MAX(0,G280-F280))</f>
        <v/>
      </c>
      <c r="K280" s="23">
        <f>IF(OR(I280="",J280=""),"",I280*J280)</f>
        <v/>
      </c>
      <c r="L280" s="22" t="n"/>
      <c r="M280" s="23">
        <f>IF(K280="","",MAX(0,K280-IF(L280="",0,L280)))</f>
        <v/>
      </c>
      <c r="N280" s="20" t="n"/>
      <c r="O280" s="20" t="n"/>
      <c r="P280" s="20" t="n"/>
      <c r="Q280" s="20" t="n"/>
      <c r="R280" s="20" t="n"/>
      <c r="S280" s="19">
        <f>IF(A280="","",IF(COUNTIF('Email Log'!B:B,A280)&gt;0,"YES","NO"))</f>
        <v/>
      </c>
    </row>
    <row r="281">
      <c r="A281" s="20" t="n"/>
      <c r="B281" s="20" t="n"/>
      <c r="C281" s="20" t="n"/>
      <c r="D281" s="20" t="n"/>
      <c r="E281" s="20" t="n"/>
      <c r="F281" s="21" t="n"/>
      <c r="G281" s="21" t="n"/>
      <c r="H281" s="20" t="n"/>
      <c r="I281" s="22" t="n"/>
      <c r="J281" s="19">
        <f>IF(OR(F281="",G281=""),"",MAX(0,G281-F281))</f>
        <v/>
      </c>
      <c r="K281" s="23">
        <f>IF(OR(I281="",J281=""),"",I281*J281)</f>
        <v/>
      </c>
      <c r="L281" s="22" t="n"/>
      <c r="M281" s="23">
        <f>IF(K281="","",MAX(0,K281-IF(L281="",0,L281)))</f>
        <v/>
      </c>
      <c r="N281" s="20" t="n"/>
      <c r="O281" s="20" t="n"/>
      <c r="P281" s="20" t="n"/>
      <c r="Q281" s="20" t="n"/>
      <c r="R281" s="20" t="n"/>
      <c r="S281" s="19">
        <f>IF(A281="","",IF(COUNTIF('Email Log'!B:B,A281)&gt;0,"YES","NO"))</f>
        <v/>
      </c>
    </row>
    <row r="282">
      <c r="A282" s="20" t="n"/>
      <c r="B282" s="20" t="n"/>
      <c r="C282" s="20" t="n"/>
      <c r="D282" s="20" t="n"/>
      <c r="E282" s="20" t="n"/>
      <c r="F282" s="21" t="n"/>
      <c r="G282" s="21" t="n"/>
      <c r="H282" s="20" t="n"/>
      <c r="I282" s="22" t="n"/>
      <c r="J282" s="19">
        <f>IF(OR(F282="",G282=""),"",MAX(0,G282-F282))</f>
        <v/>
      </c>
      <c r="K282" s="23">
        <f>IF(OR(I282="",J282=""),"",I282*J282)</f>
        <v/>
      </c>
      <c r="L282" s="22" t="n"/>
      <c r="M282" s="23">
        <f>IF(K282="","",MAX(0,K282-IF(L282="",0,L282)))</f>
        <v/>
      </c>
      <c r="N282" s="20" t="n"/>
      <c r="O282" s="20" t="n"/>
      <c r="P282" s="20" t="n"/>
      <c r="Q282" s="20" t="n"/>
      <c r="R282" s="20" t="n"/>
      <c r="S282" s="19">
        <f>IF(A282="","",IF(COUNTIF('Email Log'!B:B,A282)&gt;0,"YES","NO"))</f>
        <v/>
      </c>
    </row>
    <row r="283">
      <c r="A283" s="20" t="n"/>
      <c r="B283" s="20" t="n"/>
      <c r="C283" s="20" t="n"/>
      <c r="D283" s="20" t="n"/>
      <c r="E283" s="20" t="n"/>
      <c r="F283" s="21" t="n"/>
      <c r="G283" s="21" t="n"/>
      <c r="H283" s="20" t="n"/>
      <c r="I283" s="22" t="n"/>
      <c r="J283" s="19">
        <f>IF(OR(F283="",G283=""),"",MAX(0,G283-F283))</f>
        <v/>
      </c>
      <c r="K283" s="23">
        <f>IF(OR(I283="",J283=""),"",I283*J283)</f>
        <v/>
      </c>
      <c r="L283" s="22" t="n"/>
      <c r="M283" s="23">
        <f>IF(K283="","",MAX(0,K283-IF(L283="",0,L283)))</f>
        <v/>
      </c>
      <c r="N283" s="20" t="n"/>
      <c r="O283" s="20" t="n"/>
      <c r="P283" s="20" t="n"/>
      <c r="Q283" s="20" t="n"/>
      <c r="R283" s="20" t="n"/>
      <c r="S283" s="19">
        <f>IF(A283="","",IF(COUNTIF('Email Log'!B:B,A283)&gt;0,"YES","NO"))</f>
        <v/>
      </c>
    </row>
    <row r="284">
      <c r="A284" s="20" t="n"/>
      <c r="B284" s="20" t="n"/>
      <c r="C284" s="20" t="n"/>
      <c r="D284" s="20" t="n"/>
      <c r="E284" s="20" t="n"/>
      <c r="F284" s="21" t="n"/>
      <c r="G284" s="21" t="n"/>
      <c r="H284" s="20" t="n"/>
      <c r="I284" s="22" t="n"/>
      <c r="J284" s="19">
        <f>IF(OR(F284="",G284=""),"",MAX(0,G284-F284))</f>
        <v/>
      </c>
      <c r="K284" s="23">
        <f>IF(OR(I284="",J284=""),"",I284*J284)</f>
        <v/>
      </c>
      <c r="L284" s="22" t="n"/>
      <c r="M284" s="23">
        <f>IF(K284="","",MAX(0,K284-IF(L284="",0,L284)))</f>
        <v/>
      </c>
      <c r="N284" s="20" t="n"/>
      <c r="O284" s="20" t="n"/>
      <c r="P284" s="20" t="n"/>
      <c r="Q284" s="20" t="n"/>
      <c r="R284" s="20" t="n"/>
      <c r="S284" s="19">
        <f>IF(A284="","",IF(COUNTIF('Email Log'!B:B,A284)&gt;0,"YES","NO"))</f>
        <v/>
      </c>
    </row>
    <row r="285">
      <c r="A285" s="20" t="n"/>
      <c r="B285" s="20" t="n"/>
      <c r="C285" s="20" t="n"/>
      <c r="D285" s="20" t="n"/>
      <c r="E285" s="20" t="n"/>
      <c r="F285" s="21" t="n"/>
      <c r="G285" s="21" t="n"/>
      <c r="H285" s="20" t="n"/>
      <c r="I285" s="22" t="n"/>
      <c r="J285" s="19">
        <f>IF(OR(F285="",G285=""),"",MAX(0,G285-F285))</f>
        <v/>
      </c>
      <c r="K285" s="23">
        <f>IF(OR(I285="",J285=""),"",I285*J285)</f>
        <v/>
      </c>
      <c r="L285" s="22" t="n"/>
      <c r="M285" s="23">
        <f>IF(K285="","",MAX(0,K285-IF(L285="",0,L285)))</f>
        <v/>
      </c>
      <c r="N285" s="20" t="n"/>
      <c r="O285" s="20" t="n"/>
      <c r="P285" s="20" t="n"/>
      <c r="Q285" s="20" t="n"/>
      <c r="R285" s="20" t="n"/>
      <c r="S285" s="19">
        <f>IF(A285="","",IF(COUNTIF('Email Log'!B:B,A285)&gt;0,"YES","NO"))</f>
        <v/>
      </c>
    </row>
    <row r="286">
      <c r="A286" s="20" t="n"/>
      <c r="B286" s="20" t="n"/>
      <c r="C286" s="20" t="n"/>
      <c r="D286" s="20" t="n"/>
      <c r="E286" s="20" t="n"/>
      <c r="F286" s="21" t="n"/>
      <c r="G286" s="21" t="n"/>
      <c r="H286" s="20" t="n"/>
      <c r="I286" s="22" t="n"/>
      <c r="J286" s="19">
        <f>IF(OR(F286="",G286=""),"",MAX(0,G286-F286))</f>
        <v/>
      </c>
      <c r="K286" s="23">
        <f>IF(OR(I286="",J286=""),"",I286*J286)</f>
        <v/>
      </c>
      <c r="L286" s="22" t="n"/>
      <c r="M286" s="23">
        <f>IF(K286="","",MAX(0,K286-IF(L286="",0,L286)))</f>
        <v/>
      </c>
      <c r="N286" s="20" t="n"/>
      <c r="O286" s="20" t="n"/>
      <c r="P286" s="20" t="n"/>
      <c r="Q286" s="20" t="n"/>
      <c r="R286" s="20" t="n"/>
      <c r="S286" s="19">
        <f>IF(A286="","",IF(COUNTIF('Email Log'!B:B,A286)&gt;0,"YES","NO"))</f>
        <v/>
      </c>
    </row>
    <row r="287">
      <c r="A287" s="20" t="n"/>
      <c r="B287" s="20" t="n"/>
      <c r="C287" s="20" t="n"/>
      <c r="D287" s="20" t="n"/>
      <c r="E287" s="20" t="n"/>
      <c r="F287" s="21" t="n"/>
      <c r="G287" s="21" t="n"/>
      <c r="H287" s="20" t="n"/>
      <c r="I287" s="22" t="n"/>
      <c r="J287" s="19">
        <f>IF(OR(F287="",G287=""),"",MAX(0,G287-F287))</f>
        <v/>
      </c>
      <c r="K287" s="23">
        <f>IF(OR(I287="",J287=""),"",I287*J287)</f>
        <v/>
      </c>
      <c r="L287" s="22" t="n"/>
      <c r="M287" s="23">
        <f>IF(K287="","",MAX(0,K287-IF(L287="",0,L287)))</f>
        <v/>
      </c>
      <c r="N287" s="20" t="n"/>
      <c r="O287" s="20" t="n"/>
      <c r="P287" s="20" t="n"/>
      <c r="Q287" s="20" t="n"/>
      <c r="R287" s="20" t="n"/>
      <c r="S287" s="19">
        <f>IF(A287="","",IF(COUNTIF('Email Log'!B:B,A287)&gt;0,"YES","NO"))</f>
        <v/>
      </c>
    </row>
    <row r="288">
      <c r="A288" s="20" t="n"/>
      <c r="B288" s="20" t="n"/>
      <c r="C288" s="20" t="n"/>
      <c r="D288" s="20" t="n"/>
      <c r="E288" s="20" t="n"/>
      <c r="F288" s="21" t="n"/>
      <c r="G288" s="21" t="n"/>
      <c r="H288" s="20" t="n"/>
      <c r="I288" s="22" t="n"/>
      <c r="J288" s="19">
        <f>IF(OR(F288="",G288=""),"",MAX(0,G288-F288))</f>
        <v/>
      </c>
      <c r="K288" s="23">
        <f>IF(OR(I288="",J288=""),"",I288*J288)</f>
        <v/>
      </c>
      <c r="L288" s="22" t="n"/>
      <c r="M288" s="23">
        <f>IF(K288="","",MAX(0,K288-IF(L288="",0,L288)))</f>
        <v/>
      </c>
      <c r="N288" s="20" t="n"/>
      <c r="O288" s="20" t="n"/>
      <c r="P288" s="20" t="n"/>
      <c r="Q288" s="20" t="n"/>
      <c r="R288" s="20" t="n"/>
      <c r="S288" s="19">
        <f>IF(A288="","",IF(COUNTIF('Email Log'!B:B,A288)&gt;0,"YES","NO"))</f>
        <v/>
      </c>
    </row>
    <row r="289">
      <c r="A289" s="20" t="n"/>
      <c r="B289" s="20" t="n"/>
      <c r="C289" s="20" t="n"/>
      <c r="D289" s="20" t="n"/>
      <c r="E289" s="20" t="n"/>
      <c r="F289" s="21" t="n"/>
      <c r="G289" s="21" t="n"/>
      <c r="H289" s="20" t="n"/>
      <c r="I289" s="22" t="n"/>
      <c r="J289" s="19">
        <f>IF(OR(F289="",G289=""),"",MAX(0,G289-F289))</f>
        <v/>
      </c>
      <c r="K289" s="23">
        <f>IF(OR(I289="",J289=""),"",I289*J289)</f>
        <v/>
      </c>
      <c r="L289" s="22" t="n"/>
      <c r="M289" s="23">
        <f>IF(K289="","",MAX(0,K289-IF(L289="",0,L289)))</f>
        <v/>
      </c>
      <c r="N289" s="20" t="n"/>
      <c r="O289" s="20" t="n"/>
      <c r="P289" s="20" t="n"/>
      <c r="Q289" s="20" t="n"/>
      <c r="R289" s="20" t="n"/>
      <c r="S289" s="19">
        <f>IF(A289="","",IF(COUNTIF('Email Log'!B:B,A289)&gt;0,"YES","NO"))</f>
        <v/>
      </c>
    </row>
    <row r="290">
      <c r="A290" s="20" t="n"/>
      <c r="B290" s="20" t="n"/>
      <c r="C290" s="20" t="n"/>
      <c r="D290" s="20" t="n"/>
      <c r="E290" s="20" t="n"/>
      <c r="F290" s="21" t="n"/>
      <c r="G290" s="21" t="n"/>
      <c r="H290" s="20" t="n"/>
      <c r="I290" s="22" t="n"/>
      <c r="J290" s="19">
        <f>IF(OR(F290="",G290=""),"",MAX(0,G290-F290))</f>
        <v/>
      </c>
      <c r="K290" s="23">
        <f>IF(OR(I290="",J290=""),"",I290*J290)</f>
        <v/>
      </c>
      <c r="L290" s="22" t="n"/>
      <c r="M290" s="23">
        <f>IF(K290="","",MAX(0,K290-IF(L290="",0,L290)))</f>
        <v/>
      </c>
      <c r="N290" s="20" t="n"/>
      <c r="O290" s="20" t="n"/>
      <c r="P290" s="20" t="n"/>
      <c r="Q290" s="20" t="n"/>
      <c r="R290" s="20" t="n"/>
      <c r="S290" s="19">
        <f>IF(A290="","",IF(COUNTIF('Email Log'!B:B,A290)&gt;0,"YES","NO"))</f>
        <v/>
      </c>
    </row>
    <row r="291">
      <c r="A291" s="20" t="n"/>
      <c r="B291" s="20" t="n"/>
      <c r="C291" s="20" t="n"/>
      <c r="D291" s="20" t="n"/>
      <c r="E291" s="20" t="n"/>
      <c r="F291" s="21" t="n"/>
      <c r="G291" s="21" t="n"/>
      <c r="H291" s="20" t="n"/>
      <c r="I291" s="22" t="n"/>
      <c r="J291" s="19">
        <f>IF(OR(F291="",G291=""),"",MAX(0,G291-F291))</f>
        <v/>
      </c>
      <c r="K291" s="23">
        <f>IF(OR(I291="",J291=""),"",I291*J291)</f>
        <v/>
      </c>
      <c r="L291" s="22" t="n"/>
      <c r="M291" s="23">
        <f>IF(K291="","",MAX(0,K291-IF(L291="",0,L291)))</f>
        <v/>
      </c>
      <c r="N291" s="20" t="n"/>
      <c r="O291" s="20" t="n"/>
      <c r="P291" s="20" t="n"/>
      <c r="Q291" s="20" t="n"/>
      <c r="R291" s="20" t="n"/>
      <c r="S291" s="19">
        <f>IF(A291="","",IF(COUNTIF('Email Log'!B:B,A291)&gt;0,"YES","NO"))</f>
        <v/>
      </c>
    </row>
    <row r="292">
      <c r="A292" s="20" t="n"/>
      <c r="B292" s="20" t="n"/>
      <c r="C292" s="20" t="n"/>
      <c r="D292" s="20" t="n"/>
      <c r="E292" s="20" t="n"/>
      <c r="F292" s="21" t="n"/>
      <c r="G292" s="21" t="n"/>
      <c r="H292" s="20" t="n"/>
      <c r="I292" s="22" t="n"/>
      <c r="J292" s="19">
        <f>IF(OR(F292="",G292=""),"",MAX(0,G292-F292))</f>
        <v/>
      </c>
      <c r="K292" s="23">
        <f>IF(OR(I292="",J292=""),"",I292*J292)</f>
        <v/>
      </c>
      <c r="L292" s="22" t="n"/>
      <c r="M292" s="23">
        <f>IF(K292="","",MAX(0,K292-IF(L292="",0,L292)))</f>
        <v/>
      </c>
      <c r="N292" s="20" t="n"/>
      <c r="O292" s="20" t="n"/>
      <c r="P292" s="20" t="n"/>
      <c r="Q292" s="20" t="n"/>
      <c r="R292" s="20" t="n"/>
      <c r="S292" s="19">
        <f>IF(A292="","",IF(COUNTIF('Email Log'!B:B,A292)&gt;0,"YES","NO"))</f>
        <v/>
      </c>
    </row>
    <row r="293">
      <c r="A293" s="20" t="n"/>
      <c r="B293" s="20" t="n"/>
      <c r="C293" s="20" t="n"/>
      <c r="D293" s="20" t="n"/>
      <c r="E293" s="20" t="n"/>
      <c r="F293" s="21" t="n"/>
      <c r="G293" s="21" t="n"/>
      <c r="H293" s="20" t="n"/>
      <c r="I293" s="22" t="n"/>
      <c r="J293" s="19">
        <f>IF(OR(F293="",G293=""),"",MAX(0,G293-F293))</f>
        <v/>
      </c>
      <c r="K293" s="23">
        <f>IF(OR(I293="",J293=""),"",I293*J293)</f>
        <v/>
      </c>
      <c r="L293" s="22" t="n"/>
      <c r="M293" s="23">
        <f>IF(K293="","",MAX(0,K293-IF(L293="",0,L293)))</f>
        <v/>
      </c>
      <c r="N293" s="20" t="n"/>
      <c r="O293" s="20" t="n"/>
      <c r="P293" s="20" t="n"/>
      <c r="Q293" s="20" t="n"/>
      <c r="R293" s="20" t="n"/>
      <c r="S293" s="19">
        <f>IF(A293="","",IF(COUNTIF('Email Log'!B:B,A293)&gt;0,"YES","NO"))</f>
        <v/>
      </c>
    </row>
    <row r="294">
      <c r="A294" s="20" t="n"/>
      <c r="B294" s="20" t="n"/>
      <c r="C294" s="20" t="n"/>
      <c r="D294" s="20" t="n"/>
      <c r="E294" s="20" t="n"/>
      <c r="F294" s="21" t="n"/>
      <c r="G294" s="21" t="n"/>
      <c r="H294" s="20" t="n"/>
      <c r="I294" s="22" t="n"/>
      <c r="J294" s="19">
        <f>IF(OR(F294="",G294=""),"",MAX(0,G294-F294))</f>
        <v/>
      </c>
      <c r="K294" s="23">
        <f>IF(OR(I294="",J294=""),"",I294*J294)</f>
        <v/>
      </c>
      <c r="L294" s="22" t="n"/>
      <c r="M294" s="23">
        <f>IF(K294="","",MAX(0,K294-IF(L294="",0,L294)))</f>
        <v/>
      </c>
      <c r="N294" s="20" t="n"/>
      <c r="O294" s="20" t="n"/>
      <c r="P294" s="20" t="n"/>
      <c r="Q294" s="20" t="n"/>
      <c r="R294" s="20" t="n"/>
      <c r="S294" s="19">
        <f>IF(A294="","",IF(COUNTIF('Email Log'!B:B,A294)&gt;0,"YES","NO"))</f>
        <v/>
      </c>
    </row>
    <row r="295">
      <c r="A295" s="20" t="n"/>
      <c r="B295" s="20" t="n"/>
      <c r="C295" s="20" t="n"/>
      <c r="D295" s="20" t="n"/>
      <c r="E295" s="20" t="n"/>
      <c r="F295" s="21" t="n"/>
      <c r="G295" s="21" t="n"/>
      <c r="H295" s="20" t="n"/>
      <c r="I295" s="22" t="n"/>
      <c r="J295" s="19">
        <f>IF(OR(F295="",G295=""),"",MAX(0,G295-F295))</f>
        <v/>
      </c>
      <c r="K295" s="23">
        <f>IF(OR(I295="",J295=""),"",I295*J295)</f>
        <v/>
      </c>
      <c r="L295" s="22" t="n"/>
      <c r="M295" s="23">
        <f>IF(K295="","",MAX(0,K295-IF(L295="",0,L295)))</f>
        <v/>
      </c>
      <c r="N295" s="20" t="n"/>
      <c r="O295" s="20" t="n"/>
      <c r="P295" s="20" t="n"/>
      <c r="Q295" s="20" t="n"/>
      <c r="R295" s="20" t="n"/>
      <c r="S295" s="19">
        <f>IF(A295="","",IF(COUNTIF('Email Log'!B:B,A295)&gt;0,"YES","NO"))</f>
        <v/>
      </c>
    </row>
    <row r="296">
      <c r="A296" s="20" t="n"/>
      <c r="B296" s="20" t="n"/>
      <c r="C296" s="20" t="n"/>
      <c r="D296" s="20" t="n"/>
      <c r="E296" s="20" t="n"/>
      <c r="F296" s="21" t="n"/>
      <c r="G296" s="21" t="n"/>
      <c r="H296" s="20" t="n"/>
      <c r="I296" s="22" t="n"/>
      <c r="J296" s="19">
        <f>IF(OR(F296="",G296=""),"",MAX(0,G296-F296))</f>
        <v/>
      </c>
      <c r="K296" s="23">
        <f>IF(OR(I296="",J296=""),"",I296*J296)</f>
        <v/>
      </c>
      <c r="L296" s="22" t="n"/>
      <c r="M296" s="23">
        <f>IF(K296="","",MAX(0,K296-IF(L296="",0,L296)))</f>
        <v/>
      </c>
      <c r="N296" s="20" t="n"/>
      <c r="O296" s="20" t="n"/>
      <c r="P296" s="20" t="n"/>
      <c r="Q296" s="20" t="n"/>
      <c r="R296" s="20" t="n"/>
      <c r="S296" s="19">
        <f>IF(A296="","",IF(COUNTIF('Email Log'!B:B,A296)&gt;0,"YES","NO"))</f>
        <v/>
      </c>
    </row>
    <row r="297">
      <c r="A297" s="20" t="n"/>
      <c r="B297" s="20" t="n"/>
      <c r="C297" s="20" t="n"/>
      <c r="D297" s="20" t="n"/>
      <c r="E297" s="20" t="n"/>
      <c r="F297" s="21" t="n"/>
      <c r="G297" s="21" t="n"/>
      <c r="H297" s="20" t="n"/>
      <c r="I297" s="22" t="n"/>
      <c r="J297" s="19">
        <f>IF(OR(F297="",G297=""),"",MAX(0,G297-F297))</f>
        <v/>
      </c>
      <c r="K297" s="23">
        <f>IF(OR(I297="",J297=""),"",I297*J297)</f>
        <v/>
      </c>
      <c r="L297" s="22" t="n"/>
      <c r="M297" s="23">
        <f>IF(K297="","",MAX(0,K297-IF(L297="",0,L297)))</f>
        <v/>
      </c>
      <c r="N297" s="20" t="n"/>
      <c r="O297" s="20" t="n"/>
      <c r="P297" s="20" t="n"/>
      <c r="Q297" s="20" t="n"/>
      <c r="R297" s="20" t="n"/>
      <c r="S297" s="19">
        <f>IF(A297="","",IF(COUNTIF('Email Log'!B:B,A297)&gt;0,"YES","NO"))</f>
        <v/>
      </c>
    </row>
    <row r="298">
      <c r="A298" s="20" t="n"/>
      <c r="B298" s="20" t="n"/>
      <c r="C298" s="20" t="n"/>
      <c r="D298" s="20" t="n"/>
      <c r="E298" s="20" t="n"/>
      <c r="F298" s="21" t="n"/>
      <c r="G298" s="21" t="n"/>
      <c r="H298" s="20" t="n"/>
      <c r="I298" s="22" t="n"/>
      <c r="J298" s="19">
        <f>IF(OR(F298="",G298=""),"",MAX(0,G298-F298))</f>
        <v/>
      </c>
      <c r="K298" s="23">
        <f>IF(OR(I298="",J298=""),"",I298*J298)</f>
        <v/>
      </c>
      <c r="L298" s="22" t="n"/>
      <c r="M298" s="23">
        <f>IF(K298="","",MAX(0,K298-IF(L298="",0,L298)))</f>
        <v/>
      </c>
      <c r="N298" s="20" t="n"/>
      <c r="O298" s="20" t="n"/>
      <c r="P298" s="20" t="n"/>
      <c r="Q298" s="20" t="n"/>
      <c r="R298" s="20" t="n"/>
      <c r="S298" s="19">
        <f>IF(A298="","",IF(COUNTIF('Email Log'!B:B,A298)&gt;0,"YES","NO"))</f>
        <v/>
      </c>
    </row>
    <row r="299">
      <c r="A299" s="20" t="n"/>
      <c r="B299" s="20" t="n"/>
      <c r="C299" s="20" t="n"/>
      <c r="D299" s="20" t="n"/>
      <c r="E299" s="20" t="n"/>
      <c r="F299" s="21" t="n"/>
      <c r="G299" s="21" t="n"/>
      <c r="H299" s="20" t="n"/>
      <c r="I299" s="22" t="n"/>
      <c r="J299" s="19">
        <f>IF(OR(F299="",G299=""),"",MAX(0,G299-F299))</f>
        <v/>
      </c>
      <c r="K299" s="23">
        <f>IF(OR(I299="",J299=""),"",I299*J299)</f>
        <v/>
      </c>
      <c r="L299" s="22" t="n"/>
      <c r="M299" s="23">
        <f>IF(K299="","",MAX(0,K299-IF(L299="",0,L299)))</f>
        <v/>
      </c>
      <c r="N299" s="20" t="n"/>
      <c r="O299" s="20" t="n"/>
      <c r="P299" s="20" t="n"/>
      <c r="Q299" s="20" t="n"/>
      <c r="R299" s="20" t="n"/>
      <c r="S299" s="19">
        <f>IF(A299="","",IF(COUNTIF('Email Log'!B:B,A299)&gt;0,"YES","NO"))</f>
        <v/>
      </c>
    </row>
    <row r="300">
      <c r="A300" s="20" t="n"/>
      <c r="B300" s="20" t="n"/>
      <c r="C300" s="20" t="n"/>
      <c r="D300" s="20" t="n"/>
      <c r="E300" s="20" t="n"/>
      <c r="F300" s="21" t="n"/>
      <c r="G300" s="21" t="n"/>
      <c r="H300" s="20" t="n"/>
      <c r="I300" s="22" t="n"/>
      <c r="J300" s="19">
        <f>IF(OR(F300="",G300=""),"",MAX(0,G300-F300))</f>
        <v/>
      </c>
      <c r="K300" s="23">
        <f>IF(OR(I300="",J300=""),"",I300*J300)</f>
        <v/>
      </c>
      <c r="L300" s="22" t="n"/>
      <c r="M300" s="23">
        <f>IF(K300="","",MAX(0,K300-IF(L300="",0,L300)))</f>
        <v/>
      </c>
      <c r="N300" s="20" t="n"/>
      <c r="O300" s="20" t="n"/>
      <c r="P300" s="20" t="n"/>
      <c r="Q300" s="20" t="n"/>
      <c r="R300" s="20" t="n"/>
      <c r="S300" s="19">
        <f>IF(A300="","",IF(COUNTIF('Email Log'!B:B,A300)&gt;0,"YES","NO"))</f>
        <v/>
      </c>
    </row>
    <row r="301">
      <c r="A301" s="20" t="n"/>
      <c r="B301" s="20" t="n"/>
      <c r="C301" s="20" t="n"/>
      <c r="D301" s="20" t="n"/>
      <c r="E301" s="20" t="n"/>
      <c r="F301" s="21" t="n"/>
      <c r="G301" s="21" t="n"/>
      <c r="H301" s="20" t="n"/>
      <c r="I301" s="22" t="n"/>
      <c r="J301" s="19">
        <f>IF(OR(F301="",G301=""),"",MAX(0,G301-F301))</f>
        <v/>
      </c>
      <c r="K301" s="23">
        <f>IF(OR(I301="",J301=""),"",I301*J301)</f>
        <v/>
      </c>
      <c r="L301" s="22" t="n"/>
      <c r="M301" s="23">
        <f>IF(K301="","",MAX(0,K301-IF(L301="",0,L301)))</f>
        <v/>
      </c>
      <c r="N301" s="20" t="n"/>
      <c r="O301" s="20" t="n"/>
      <c r="P301" s="20" t="n"/>
      <c r="Q301" s="20" t="n"/>
      <c r="R301" s="20" t="n"/>
      <c r="S301" s="19">
        <f>IF(A301="","",IF(COUNTIF('Email Log'!B:B,A301)&gt;0,"YES","NO"))</f>
        <v/>
      </c>
    </row>
    <row r="302">
      <c r="A302" s="20" t="n"/>
      <c r="B302" s="20" t="n"/>
      <c r="C302" s="20" t="n"/>
      <c r="D302" s="20" t="n"/>
      <c r="E302" s="20" t="n"/>
      <c r="F302" s="21" t="n"/>
      <c r="G302" s="21" t="n"/>
      <c r="H302" s="20" t="n"/>
      <c r="I302" s="22" t="n"/>
      <c r="J302" s="19">
        <f>IF(OR(F302="",G302=""),"",MAX(0,G302-F302))</f>
        <v/>
      </c>
      <c r="K302" s="23">
        <f>IF(OR(I302="",J302=""),"",I302*J302)</f>
        <v/>
      </c>
      <c r="L302" s="22" t="n"/>
      <c r="M302" s="23">
        <f>IF(K302="","",MAX(0,K302-IF(L302="",0,L302)))</f>
        <v/>
      </c>
      <c r="N302" s="20" t="n"/>
      <c r="O302" s="20" t="n"/>
      <c r="P302" s="20" t="n"/>
      <c r="Q302" s="20" t="n"/>
      <c r="R302" s="20" t="n"/>
      <c r="S302" s="19">
        <f>IF(A302="","",IF(COUNTIF('Email Log'!B:B,A302)&gt;0,"YES","NO"))</f>
        <v/>
      </c>
    </row>
    <row r="303">
      <c r="A303" s="20" t="n"/>
      <c r="B303" s="20" t="n"/>
      <c r="C303" s="20" t="n"/>
      <c r="D303" s="20" t="n"/>
      <c r="E303" s="20" t="n"/>
      <c r="F303" s="21" t="n"/>
      <c r="G303" s="21" t="n"/>
      <c r="H303" s="20" t="n"/>
      <c r="I303" s="22" t="n"/>
      <c r="J303" s="19">
        <f>IF(OR(F303="",G303=""),"",MAX(0,G303-F303))</f>
        <v/>
      </c>
      <c r="K303" s="23">
        <f>IF(OR(I303="",J303=""),"",I303*J303)</f>
        <v/>
      </c>
      <c r="L303" s="22" t="n"/>
      <c r="M303" s="23">
        <f>IF(K303="","",MAX(0,K303-IF(L303="",0,L303)))</f>
        <v/>
      </c>
      <c r="N303" s="20" t="n"/>
      <c r="O303" s="20" t="n"/>
      <c r="P303" s="20" t="n"/>
      <c r="Q303" s="20" t="n"/>
      <c r="R303" s="20" t="n"/>
      <c r="S303" s="19">
        <f>IF(A303="","",IF(COUNTIF('Email Log'!B:B,A303)&gt;0,"YES","NO"))</f>
        <v/>
      </c>
    </row>
    <row r="304">
      <c r="A304" s="20" t="n"/>
      <c r="B304" s="20" t="n"/>
      <c r="C304" s="20" t="n"/>
      <c r="D304" s="20" t="n"/>
      <c r="E304" s="20" t="n"/>
      <c r="F304" s="21" t="n"/>
      <c r="G304" s="21" t="n"/>
      <c r="H304" s="20" t="n"/>
      <c r="I304" s="22" t="n"/>
      <c r="J304" s="19">
        <f>IF(OR(F304="",G304=""),"",MAX(0,G304-F304))</f>
        <v/>
      </c>
      <c r="K304" s="23">
        <f>IF(OR(I304="",J304=""),"",I304*J304)</f>
        <v/>
      </c>
      <c r="L304" s="22" t="n"/>
      <c r="M304" s="23">
        <f>IF(K304="","",MAX(0,K304-IF(L304="",0,L304)))</f>
        <v/>
      </c>
      <c r="N304" s="20" t="n"/>
      <c r="O304" s="20" t="n"/>
      <c r="P304" s="20" t="n"/>
      <c r="Q304" s="20" t="n"/>
      <c r="R304" s="20" t="n"/>
      <c r="S304" s="19">
        <f>IF(A304="","",IF(COUNTIF('Email Log'!B:B,A304)&gt;0,"YES","NO"))</f>
        <v/>
      </c>
    </row>
    <row r="305">
      <c r="A305" s="20" t="n"/>
      <c r="B305" s="20" t="n"/>
      <c r="C305" s="20" t="n"/>
      <c r="D305" s="20" t="n"/>
      <c r="E305" s="20" t="n"/>
      <c r="F305" s="21" t="n"/>
      <c r="G305" s="21" t="n"/>
      <c r="H305" s="20" t="n"/>
      <c r="I305" s="22" t="n"/>
      <c r="J305" s="19">
        <f>IF(OR(F305="",G305=""),"",MAX(0,G305-F305))</f>
        <v/>
      </c>
      <c r="K305" s="23">
        <f>IF(OR(I305="",J305=""),"",I305*J305)</f>
        <v/>
      </c>
      <c r="L305" s="22" t="n"/>
      <c r="M305" s="23">
        <f>IF(K305="","",MAX(0,K305-IF(L305="",0,L305)))</f>
        <v/>
      </c>
      <c r="N305" s="20" t="n"/>
      <c r="O305" s="20" t="n"/>
      <c r="P305" s="20" t="n"/>
      <c r="Q305" s="20" t="n"/>
      <c r="R305" s="20" t="n"/>
      <c r="S305" s="19">
        <f>IF(A305="","",IF(COUNTIF('Email Log'!B:B,A305)&gt;0,"YES","NO"))</f>
        <v/>
      </c>
    </row>
    <row r="306">
      <c r="A306" s="20" t="n"/>
      <c r="B306" s="20" t="n"/>
      <c r="C306" s="20" t="n"/>
      <c r="D306" s="20" t="n"/>
      <c r="E306" s="20" t="n"/>
      <c r="F306" s="21" t="n"/>
      <c r="G306" s="21" t="n"/>
      <c r="H306" s="20" t="n"/>
      <c r="I306" s="22" t="n"/>
      <c r="J306" s="19">
        <f>IF(OR(F306="",G306=""),"",MAX(0,G306-F306))</f>
        <v/>
      </c>
      <c r="K306" s="23">
        <f>IF(OR(I306="",J306=""),"",I306*J306)</f>
        <v/>
      </c>
      <c r="L306" s="22" t="n"/>
      <c r="M306" s="23">
        <f>IF(K306="","",MAX(0,K306-IF(L306="",0,L306)))</f>
        <v/>
      </c>
      <c r="N306" s="20" t="n"/>
      <c r="O306" s="20" t="n"/>
      <c r="P306" s="20" t="n"/>
      <c r="Q306" s="20" t="n"/>
      <c r="R306" s="20" t="n"/>
      <c r="S306" s="19">
        <f>IF(A306="","",IF(COUNTIF('Email Log'!B:B,A306)&gt;0,"YES","NO"))</f>
        <v/>
      </c>
    </row>
    <row r="307">
      <c r="A307" s="20" t="n"/>
      <c r="B307" s="20" t="n"/>
      <c r="C307" s="20" t="n"/>
      <c r="D307" s="20" t="n"/>
      <c r="E307" s="20" t="n"/>
      <c r="F307" s="21" t="n"/>
      <c r="G307" s="21" t="n"/>
      <c r="H307" s="20" t="n"/>
      <c r="I307" s="22" t="n"/>
      <c r="J307" s="19">
        <f>IF(OR(F307="",G307=""),"",MAX(0,G307-F307))</f>
        <v/>
      </c>
      <c r="K307" s="23">
        <f>IF(OR(I307="",J307=""),"",I307*J307)</f>
        <v/>
      </c>
      <c r="L307" s="22" t="n"/>
      <c r="M307" s="23">
        <f>IF(K307="","",MAX(0,K307-IF(L307="",0,L307)))</f>
        <v/>
      </c>
      <c r="N307" s="20" t="n"/>
      <c r="O307" s="20" t="n"/>
      <c r="P307" s="20" t="n"/>
      <c r="Q307" s="20" t="n"/>
      <c r="R307" s="20" t="n"/>
      <c r="S307" s="19">
        <f>IF(A307="","",IF(COUNTIF('Email Log'!B:B,A307)&gt;0,"YES","NO"))</f>
        <v/>
      </c>
    </row>
    <row r="308">
      <c r="A308" s="20" t="n"/>
      <c r="B308" s="20" t="n"/>
      <c r="C308" s="20" t="n"/>
      <c r="D308" s="20" t="n"/>
      <c r="E308" s="20" t="n"/>
      <c r="F308" s="21" t="n"/>
      <c r="G308" s="21" t="n"/>
      <c r="H308" s="20" t="n"/>
      <c r="I308" s="22" t="n"/>
      <c r="J308" s="19">
        <f>IF(OR(F308="",G308=""),"",MAX(0,G308-F308))</f>
        <v/>
      </c>
      <c r="K308" s="23">
        <f>IF(OR(I308="",J308=""),"",I308*J308)</f>
        <v/>
      </c>
      <c r="L308" s="22" t="n"/>
      <c r="M308" s="23">
        <f>IF(K308="","",MAX(0,K308-IF(L308="",0,L308)))</f>
        <v/>
      </c>
      <c r="N308" s="20" t="n"/>
      <c r="O308" s="20" t="n"/>
      <c r="P308" s="20" t="n"/>
      <c r="Q308" s="20" t="n"/>
      <c r="R308" s="20" t="n"/>
      <c r="S308" s="19">
        <f>IF(A308="","",IF(COUNTIF('Email Log'!B:B,A308)&gt;0,"YES","NO"))</f>
        <v/>
      </c>
    </row>
    <row r="309">
      <c r="A309" s="20" t="n"/>
      <c r="B309" s="20" t="n"/>
      <c r="C309" s="20" t="n"/>
      <c r="D309" s="20" t="n"/>
      <c r="E309" s="20" t="n"/>
      <c r="F309" s="21" t="n"/>
      <c r="G309" s="21" t="n"/>
      <c r="H309" s="20" t="n"/>
      <c r="I309" s="22" t="n"/>
      <c r="J309" s="19">
        <f>IF(OR(F309="",G309=""),"",MAX(0,G309-F309))</f>
        <v/>
      </c>
      <c r="K309" s="23">
        <f>IF(OR(I309="",J309=""),"",I309*J309)</f>
        <v/>
      </c>
      <c r="L309" s="22" t="n"/>
      <c r="M309" s="23">
        <f>IF(K309="","",MAX(0,K309-IF(L309="",0,L309)))</f>
        <v/>
      </c>
      <c r="N309" s="20" t="n"/>
      <c r="O309" s="20" t="n"/>
      <c r="P309" s="20" t="n"/>
      <c r="Q309" s="20" t="n"/>
      <c r="R309" s="20" t="n"/>
      <c r="S309" s="19">
        <f>IF(A309="","",IF(COUNTIF('Email Log'!B:B,A309)&gt;0,"YES","NO"))</f>
        <v/>
      </c>
    </row>
    <row r="310">
      <c r="A310" s="20" t="n"/>
      <c r="B310" s="20" t="n"/>
      <c r="C310" s="20" t="n"/>
      <c r="D310" s="20" t="n"/>
      <c r="E310" s="20" t="n"/>
      <c r="F310" s="21" t="n"/>
      <c r="G310" s="21" t="n"/>
      <c r="H310" s="20" t="n"/>
      <c r="I310" s="22" t="n"/>
      <c r="J310" s="19">
        <f>IF(OR(F310="",G310=""),"",MAX(0,G310-F310))</f>
        <v/>
      </c>
      <c r="K310" s="23">
        <f>IF(OR(I310="",J310=""),"",I310*J310)</f>
        <v/>
      </c>
      <c r="L310" s="22" t="n"/>
      <c r="M310" s="23">
        <f>IF(K310="","",MAX(0,K310-IF(L310="",0,L310)))</f>
        <v/>
      </c>
      <c r="N310" s="20" t="n"/>
      <c r="O310" s="20" t="n"/>
      <c r="P310" s="20" t="n"/>
      <c r="Q310" s="20" t="n"/>
      <c r="R310" s="20" t="n"/>
      <c r="S310" s="19">
        <f>IF(A310="","",IF(COUNTIF('Email Log'!B:B,A310)&gt;0,"YES","NO"))</f>
        <v/>
      </c>
    </row>
    <row r="311">
      <c r="A311" s="20" t="n"/>
      <c r="B311" s="20" t="n"/>
      <c r="C311" s="20" t="n"/>
      <c r="D311" s="20" t="n"/>
      <c r="E311" s="20" t="n"/>
      <c r="F311" s="21" t="n"/>
      <c r="G311" s="21" t="n"/>
      <c r="H311" s="20" t="n"/>
      <c r="I311" s="22" t="n"/>
      <c r="J311" s="19">
        <f>IF(OR(F311="",G311=""),"",MAX(0,G311-F311))</f>
        <v/>
      </c>
      <c r="K311" s="23">
        <f>IF(OR(I311="",J311=""),"",I311*J311)</f>
        <v/>
      </c>
      <c r="L311" s="22" t="n"/>
      <c r="M311" s="23">
        <f>IF(K311="","",MAX(0,K311-IF(L311="",0,L311)))</f>
        <v/>
      </c>
      <c r="N311" s="20" t="n"/>
      <c r="O311" s="20" t="n"/>
      <c r="P311" s="20" t="n"/>
      <c r="Q311" s="20" t="n"/>
      <c r="R311" s="20" t="n"/>
      <c r="S311" s="19">
        <f>IF(A311="","",IF(COUNTIF('Email Log'!B:B,A311)&gt;0,"YES","NO"))</f>
        <v/>
      </c>
    </row>
    <row r="312">
      <c r="A312" s="20" t="n"/>
      <c r="B312" s="20" t="n"/>
      <c r="C312" s="20" t="n"/>
      <c r="D312" s="20" t="n"/>
      <c r="E312" s="20" t="n"/>
      <c r="F312" s="21" t="n"/>
      <c r="G312" s="21" t="n"/>
      <c r="H312" s="20" t="n"/>
      <c r="I312" s="22" t="n"/>
      <c r="J312" s="19">
        <f>IF(OR(F312="",G312=""),"",MAX(0,G312-F312))</f>
        <v/>
      </c>
      <c r="K312" s="23">
        <f>IF(OR(I312="",J312=""),"",I312*J312)</f>
        <v/>
      </c>
      <c r="L312" s="22" t="n"/>
      <c r="M312" s="23">
        <f>IF(K312="","",MAX(0,K312-IF(L312="",0,L312)))</f>
        <v/>
      </c>
      <c r="N312" s="20" t="n"/>
      <c r="O312" s="20" t="n"/>
      <c r="P312" s="20" t="n"/>
      <c r="Q312" s="20" t="n"/>
      <c r="R312" s="20" t="n"/>
      <c r="S312" s="19">
        <f>IF(A312="","",IF(COUNTIF('Email Log'!B:B,A312)&gt;0,"YES","NO"))</f>
        <v/>
      </c>
    </row>
    <row r="313">
      <c r="A313" s="20" t="n"/>
      <c r="B313" s="20" t="n"/>
      <c r="C313" s="20" t="n"/>
      <c r="D313" s="20" t="n"/>
      <c r="E313" s="20" t="n"/>
      <c r="F313" s="21" t="n"/>
      <c r="G313" s="21" t="n"/>
      <c r="H313" s="20" t="n"/>
      <c r="I313" s="22" t="n"/>
      <c r="J313" s="19">
        <f>IF(OR(F313="",G313=""),"",MAX(0,G313-F313))</f>
        <v/>
      </c>
      <c r="K313" s="23">
        <f>IF(OR(I313="",J313=""),"",I313*J313)</f>
        <v/>
      </c>
      <c r="L313" s="22" t="n"/>
      <c r="M313" s="23">
        <f>IF(K313="","",MAX(0,K313-IF(L313="",0,L313)))</f>
        <v/>
      </c>
      <c r="N313" s="20" t="n"/>
      <c r="O313" s="20" t="n"/>
      <c r="P313" s="20" t="n"/>
      <c r="Q313" s="20" t="n"/>
      <c r="R313" s="20" t="n"/>
      <c r="S313" s="19">
        <f>IF(A313="","",IF(COUNTIF('Email Log'!B:B,A313)&gt;0,"YES","NO"))</f>
        <v/>
      </c>
    </row>
    <row r="314">
      <c r="A314" s="20" t="n"/>
      <c r="B314" s="20" t="n"/>
      <c r="C314" s="20" t="n"/>
      <c r="D314" s="20" t="n"/>
      <c r="E314" s="20" t="n"/>
      <c r="F314" s="21" t="n"/>
      <c r="G314" s="21" t="n"/>
      <c r="H314" s="20" t="n"/>
      <c r="I314" s="22" t="n"/>
      <c r="J314" s="19">
        <f>IF(OR(F314="",G314=""),"",MAX(0,G314-F314))</f>
        <v/>
      </c>
      <c r="K314" s="23">
        <f>IF(OR(I314="",J314=""),"",I314*J314)</f>
        <v/>
      </c>
      <c r="L314" s="22" t="n"/>
      <c r="M314" s="23">
        <f>IF(K314="","",MAX(0,K314-IF(L314="",0,L314)))</f>
        <v/>
      </c>
      <c r="N314" s="20" t="n"/>
      <c r="O314" s="20" t="n"/>
      <c r="P314" s="20" t="n"/>
      <c r="Q314" s="20" t="n"/>
      <c r="R314" s="20" t="n"/>
      <c r="S314" s="19">
        <f>IF(A314="","",IF(COUNTIF('Email Log'!B:B,A314)&gt;0,"YES","NO"))</f>
        <v/>
      </c>
    </row>
    <row r="315">
      <c r="A315" s="20" t="n"/>
      <c r="B315" s="20" t="n"/>
      <c r="C315" s="20" t="n"/>
      <c r="D315" s="20" t="n"/>
      <c r="E315" s="20" t="n"/>
      <c r="F315" s="21" t="n"/>
      <c r="G315" s="21" t="n"/>
      <c r="H315" s="20" t="n"/>
      <c r="I315" s="22" t="n"/>
      <c r="J315" s="19">
        <f>IF(OR(F315="",G315=""),"",MAX(0,G315-F315))</f>
        <v/>
      </c>
      <c r="K315" s="23">
        <f>IF(OR(I315="",J315=""),"",I315*J315)</f>
        <v/>
      </c>
      <c r="L315" s="22" t="n"/>
      <c r="M315" s="23">
        <f>IF(K315="","",MAX(0,K315-IF(L315="",0,L315)))</f>
        <v/>
      </c>
      <c r="N315" s="20" t="n"/>
      <c r="O315" s="20" t="n"/>
      <c r="P315" s="20" t="n"/>
      <c r="Q315" s="20" t="n"/>
      <c r="R315" s="20" t="n"/>
      <c r="S315" s="19">
        <f>IF(A315="","",IF(COUNTIF('Email Log'!B:B,A315)&gt;0,"YES","NO"))</f>
        <v/>
      </c>
    </row>
    <row r="316">
      <c r="A316" s="20" t="n"/>
      <c r="B316" s="20" t="n"/>
      <c r="C316" s="20" t="n"/>
      <c r="D316" s="20" t="n"/>
      <c r="E316" s="20" t="n"/>
      <c r="F316" s="21" t="n"/>
      <c r="G316" s="21" t="n"/>
      <c r="H316" s="20" t="n"/>
      <c r="I316" s="22" t="n"/>
      <c r="J316" s="19">
        <f>IF(OR(F316="",G316=""),"",MAX(0,G316-F316))</f>
        <v/>
      </c>
      <c r="K316" s="23">
        <f>IF(OR(I316="",J316=""),"",I316*J316)</f>
        <v/>
      </c>
      <c r="L316" s="22" t="n"/>
      <c r="M316" s="23">
        <f>IF(K316="","",MAX(0,K316-IF(L316="",0,L316)))</f>
        <v/>
      </c>
      <c r="N316" s="20" t="n"/>
      <c r="O316" s="20" t="n"/>
      <c r="P316" s="20" t="n"/>
      <c r="Q316" s="20" t="n"/>
      <c r="R316" s="20" t="n"/>
      <c r="S316" s="19">
        <f>IF(A316="","",IF(COUNTIF('Email Log'!B:B,A316)&gt;0,"YES","NO"))</f>
        <v/>
      </c>
    </row>
    <row r="317">
      <c r="A317" s="20" t="n"/>
      <c r="B317" s="20" t="n"/>
      <c r="C317" s="20" t="n"/>
      <c r="D317" s="20" t="n"/>
      <c r="E317" s="20" t="n"/>
      <c r="F317" s="21" t="n"/>
      <c r="G317" s="21" t="n"/>
      <c r="H317" s="20" t="n"/>
      <c r="I317" s="22" t="n"/>
      <c r="J317" s="19">
        <f>IF(OR(F317="",G317=""),"",MAX(0,G317-F317))</f>
        <v/>
      </c>
      <c r="K317" s="23">
        <f>IF(OR(I317="",J317=""),"",I317*J317)</f>
        <v/>
      </c>
      <c r="L317" s="22" t="n"/>
      <c r="M317" s="23">
        <f>IF(K317="","",MAX(0,K317-IF(L317="",0,L317)))</f>
        <v/>
      </c>
      <c r="N317" s="20" t="n"/>
      <c r="O317" s="20" t="n"/>
      <c r="P317" s="20" t="n"/>
      <c r="Q317" s="20" t="n"/>
      <c r="R317" s="20" t="n"/>
      <c r="S317" s="19">
        <f>IF(A317="","",IF(COUNTIF('Email Log'!B:B,A317)&gt;0,"YES","NO"))</f>
        <v/>
      </c>
    </row>
    <row r="318">
      <c r="A318" s="20" t="n"/>
      <c r="B318" s="20" t="n"/>
      <c r="C318" s="20" t="n"/>
      <c r="D318" s="20" t="n"/>
      <c r="E318" s="20" t="n"/>
      <c r="F318" s="21" t="n"/>
      <c r="G318" s="21" t="n"/>
      <c r="H318" s="20" t="n"/>
      <c r="I318" s="22" t="n"/>
      <c r="J318" s="19">
        <f>IF(OR(F318="",G318=""),"",MAX(0,G318-F318))</f>
        <v/>
      </c>
      <c r="K318" s="23">
        <f>IF(OR(I318="",J318=""),"",I318*J318)</f>
        <v/>
      </c>
      <c r="L318" s="22" t="n"/>
      <c r="M318" s="23">
        <f>IF(K318="","",MAX(0,K318-IF(L318="",0,L318)))</f>
        <v/>
      </c>
      <c r="N318" s="20" t="n"/>
      <c r="O318" s="20" t="n"/>
      <c r="P318" s="20" t="n"/>
      <c r="Q318" s="20" t="n"/>
      <c r="R318" s="20" t="n"/>
      <c r="S318" s="19">
        <f>IF(A318="","",IF(COUNTIF('Email Log'!B:B,A318)&gt;0,"YES","NO"))</f>
        <v/>
      </c>
    </row>
    <row r="319">
      <c r="A319" s="20" t="n"/>
      <c r="B319" s="20" t="n"/>
      <c r="C319" s="20" t="n"/>
      <c r="D319" s="20" t="n"/>
      <c r="E319" s="20" t="n"/>
      <c r="F319" s="21" t="n"/>
      <c r="G319" s="21" t="n"/>
      <c r="H319" s="20" t="n"/>
      <c r="I319" s="22" t="n"/>
      <c r="J319" s="19">
        <f>IF(OR(F319="",G319=""),"",MAX(0,G319-F319))</f>
        <v/>
      </c>
      <c r="K319" s="23">
        <f>IF(OR(I319="",J319=""),"",I319*J319)</f>
        <v/>
      </c>
      <c r="L319" s="22" t="n"/>
      <c r="M319" s="23">
        <f>IF(K319="","",MAX(0,K319-IF(L319="",0,L319)))</f>
        <v/>
      </c>
      <c r="N319" s="20" t="n"/>
      <c r="O319" s="20" t="n"/>
      <c r="P319" s="20" t="n"/>
      <c r="Q319" s="20" t="n"/>
      <c r="R319" s="20" t="n"/>
      <c r="S319" s="19">
        <f>IF(A319="","",IF(COUNTIF('Email Log'!B:B,A319)&gt;0,"YES","NO"))</f>
        <v/>
      </c>
    </row>
    <row r="320">
      <c r="A320" s="20" t="n"/>
      <c r="B320" s="20" t="n"/>
      <c r="C320" s="20" t="n"/>
      <c r="D320" s="20" t="n"/>
      <c r="E320" s="20" t="n"/>
      <c r="F320" s="21" t="n"/>
      <c r="G320" s="21" t="n"/>
      <c r="H320" s="20" t="n"/>
      <c r="I320" s="22" t="n"/>
      <c r="J320" s="19">
        <f>IF(OR(F320="",G320=""),"",MAX(0,G320-F320))</f>
        <v/>
      </c>
      <c r="K320" s="23">
        <f>IF(OR(I320="",J320=""),"",I320*J320)</f>
        <v/>
      </c>
      <c r="L320" s="22" t="n"/>
      <c r="M320" s="23">
        <f>IF(K320="","",MAX(0,K320-IF(L320="",0,L320)))</f>
        <v/>
      </c>
      <c r="N320" s="20" t="n"/>
      <c r="O320" s="20" t="n"/>
      <c r="P320" s="20" t="n"/>
      <c r="Q320" s="20" t="n"/>
      <c r="R320" s="20" t="n"/>
      <c r="S320" s="19">
        <f>IF(A320="","",IF(COUNTIF('Email Log'!B:B,A320)&gt;0,"YES","NO"))</f>
        <v/>
      </c>
    </row>
    <row r="321">
      <c r="A321" s="20" t="n"/>
      <c r="B321" s="20" t="n"/>
      <c r="C321" s="20" t="n"/>
      <c r="D321" s="20" t="n"/>
      <c r="E321" s="20" t="n"/>
      <c r="F321" s="21" t="n"/>
      <c r="G321" s="21" t="n"/>
      <c r="H321" s="20" t="n"/>
      <c r="I321" s="22" t="n"/>
      <c r="J321" s="19">
        <f>IF(OR(F321="",G321=""),"",MAX(0,G321-F321))</f>
        <v/>
      </c>
      <c r="K321" s="23">
        <f>IF(OR(I321="",J321=""),"",I321*J321)</f>
        <v/>
      </c>
      <c r="L321" s="22" t="n"/>
      <c r="M321" s="23">
        <f>IF(K321="","",MAX(0,K321-IF(L321="",0,L321)))</f>
        <v/>
      </c>
      <c r="N321" s="20" t="n"/>
      <c r="O321" s="20" t="n"/>
      <c r="P321" s="20" t="n"/>
      <c r="Q321" s="20" t="n"/>
      <c r="R321" s="20" t="n"/>
      <c r="S321" s="19">
        <f>IF(A321="","",IF(COUNTIF('Email Log'!B:B,A321)&gt;0,"YES","NO"))</f>
        <v/>
      </c>
    </row>
    <row r="322">
      <c r="A322" s="20" t="n"/>
      <c r="B322" s="20" t="n"/>
      <c r="C322" s="20" t="n"/>
      <c r="D322" s="20" t="n"/>
      <c r="E322" s="20" t="n"/>
      <c r="F322" s="21" t="n"/>
      <c r="G322" s="21" t="n"/>
      <c r="H322" s="20" t="n"/>
      <c r="I322" s="22" t="n"/>
      <c r="J322" s="19">
        <f>IF(OR(F322="",G322=""),"",MAX(0,G322-F322))</f>
        <v/>
      </c>
      <c r="K322" s="23">
        <f>IF(OR(I322="",J322=""),"",I322*J322)</f>
        <v/>
      </c>
      <c r="L322" s="22" t="n"/>
      <c r="M322" s="23">
        <f>IF(K322="","",MAX(0,K322-IF(L322="",0,L322)))</f>
        <v/>
      </c>
      <c r="N322" s="20" t="n"/>
      <c r="O322" s="20" t="n"/>
      <c r="P322" s="20" t="n"/>
      <c r="Q322" s="20" t="n"/>
      <c r="R322" s="20" t="n"/>
      <c r="S322" s="19">
        <f>IF(A322="","",IF(COUNTIF('Email Log'!B:B,A322)&gt;0,"YES","NO"))</f>
        <v/>
      </c>
    </row>
    <row r="323">
      <c r="A323" s="20" t="n"/>
      <c r="B323" s="20" t="n"/>
      <c r="C323" s="20" t="n"/>
      <c r="D323" s="20" t="n"/>
      <c r="E323" s="20" t="n"/>
      <c r="F323" s="21" t="n"/>
      <c r="G323" s="21" t="n"/>
      <c r="H323" s="20" t="n"/>
      <c r="I323" s="22" t="n"/>
      <c r="J323" s="19">
        <f>IF(OR(F323="",G323=""),"",MAX(0,G323-F323))</f>
        <v/>
      </c>
      <c r="K323" s="23">
        <f>IF(OR(I323="",J323=""),"",I323*J323)</f>
        <v/>
      </c>
      <c r="L323" s="22" t="n"/>
      <c r="M323" s="23">
        <f>IF(K323="","",MAX(0,K323-IF(L323="",0,L323)))</f>
        <v/>
      </c>
      <c r="N323" s="20" t="n"/>
      <c r="O323" s="20" t="n"/>
      <c r="P323" s="20" t="n"/>
      <c r="Q323" s="20" t="n"/>
      <c r="R323" s="20" t="n"/>
      <c r="S323" s="19">
        <f>IF(A323="","",IF(COUNTIF('Email Log'!B:B,A323)&gt;0,"YES","NO"))</f>
        <v/>
      </c>
    </row>
    <row r="324">
      <c r="A324" s="20" t="n"/>
      <c r="B324" s="20" t="n"/>
      <c r="C324" s="20" t="n"/>
      <c r="D324" s="20" t="n"/>
      <c r="E324" s="20" t="n"/>
      <c r="F324" s="21" t="n"/>
      <c r="G324" s="21" t="n"/>
      <c r="H324" s="20" t="n"/>
      <c r="I324" s="22" t="n"/>
      <c r="J324" s="19">
        <f>IF(OR(F324="",G324=""),"",MAX(0,G324-F324))</f>
        <v/>
      </c>
      <c r="K324" s="23">
        <f>IF(OR(I324="",J324=""),"",I324*J324)</f>
        <v/>
      </c>
      <c r="L324" s="22" t="n"/>
      <c r="M324" s="23">
        <f>IF(K324="","",MAX(0,K324-IF(L324="",0,L324)))</f>
        <v/>
      </c>
      <c r="N324" s="20" t="n"/>
      <c r="O324" s="20" t="n"/>
      <c r="P324" s="20" t="n"/>
      <c r="Q324" s="20" t="n"/>
      <c r="R324" s="20" t="n"/>
      <c r="S324" s="19">
        <f>IF(A324="","",IF(COUNTIF('Email Log'!B:B,A324)&gt;0,"YES","NO"))</f>
        <v/>
      </c>
    </row>
    <row r="325">
      <c r="A325" s="20" t="n"/>
      <c r="B325" s="20" t="n"/>
      <c r="C325" s="20" t="n"/>
      <c r="D325" s="20" t="n"/>
      <c r="E325" s="20" t="n"/>
      <c r="F325" s="21" t="n"/>
      <c r="G325" s="21" t="n"/>
      <c r="H325" s="20" t="n"/>
      <c r="I325" s="22" t="n"/>
      <c r="J325" s="19">
        <f>IF(OR(F325="",G325=""),"",MAX(0,G325-F325))</f>
        <v/>
      </c>
      <c r="K325" s="23">
        <f>IF(OR(I325="",J325=""),"",I325*J325)</f>
        <v/>
      </c>
      <c r="L325" s="22" t="n"/>
      <c r="M325" s="23">
        <f>IF(K325="","",MAX(0,K325-IF(L325="",0,L325)))</f>
        <v/>
      </c>
      <c r="N325" s="20" t="n"/>
      <c r="O325" s="20" t="n"/>
      <c r="P325" s="20" t="n"/>
      <c r="Q325" s="20" t="n"/>
      <c r="R325" s="20" t="n"/>
      <c r="S325" s="19">
        <f>IF(A325="","",IF(COUNTIF('Email Log'!B:B,A325)&gt;0,"YES","NO"))</f>
        <v/>
      </c>
    </row>
    <row r="326">
      <c r="A326" s="20" t="n"/>
      <c r="B326" s="20" t="n"/>
      <c r="C326" s="20" t="n"/>
      <c r="D326" s="20" t="n"/>
      <c r="E326" s="20" t="n"/>
      <c r="F326" s="21" t="n"/>
      <c r="G326" s="21" t="n"/>
      <c r="H326" s="20" t="n"/>
      <c r="I326" s="22" t="n"/>
      <c r="J326" s="19">
        <f>IF(OR(F326="",G326=""),"",MAX(0,G326-F326))</f>
        <v/>
      </c>
      <c r="K326" s="23">
        <f>IF(OR(I326="",J326=""),"",I326*J326)</f>
        <v/>
      </c>
      <c r="L326" s="22" t="n"/>
      <c r="M326" s="23">
        <f>IF(K326="","",MAX(0,K326-IF(L326="",0,L326)))</f>
        <v/>
      </c>
      <c r="N326" s="20" t="n"/>
      <c r="O326" s="20" t="n"/>
      <c r="P326" s="20" t="n"/>
      <c r="Q326" s="20" t="n"/>
      <c r="R326" s="20" t="n"/>
      <c r="S326" s="19">
        <f>IF(A326="","",IF(COUNTIF('Email Log'!B:B,A326)&gt;0,"YES","NO"))</f>
        <v/>
      </c>
    </row>
    <row r="327">
      <c r="A327" s="20" t="n"/>
      <c r="B327" s="20" t="n"/>
      <c r="C327" s="20" t="n"/>
      <c r="D327" s="20" t="n"/>
      <c r="E327" s="20" t="n"/>
      <c r="F327" s="21" t="n"/>
      <c r="G327" s="21" t="n"/>
      <c r="H327" s="20" t="n"/>
      <c r="I327" s="22" t="n"/>
      <c r="J327" s="19">
        <f>IF(OR(F327="",G327=""),"",MAX(0,G327-F327))</f>
        <v/>
      </c>
      <c r="K327" s="23">
        <f>IF(OR(I327="",J327=""),"",I327*J327)</f>
        <v/>
      </c>
      <c r="L327" s="22" t="n"/>
      <c r="M327" s="23">
        <f>IF(K327="","",MAX(0,K327-IF(L327="",0,L327)))</f>
        <v/>
      </c>
      <c r="N327" s="20" t="n"/>
      <c r="O327" s="20" t="n"/>
      <c r="P327" s="20" t="n"/>
      <c r="Q327" s="20" t="n"/>
      <c r="R327" s="20" t="n"/>
      <c r="S327" s="19">
        <f>IF(A327="","",IF(COUNTIF('Email Log'!B:B,A327)&gt;0,"YES","NO"))</f>
        <v/>
      </c>
    </row>
    <row r="328">
      <c r="A328" s="20" t="n"/>
      <c r="B328" s="20" t="n"/>
      <c r="C328" s="20" t="n"/>
      <c r="D328" s="20" t="n"/>
      <c r="E328" s="20" t="n"/>
      <c r="F328" s="21" t="n"/>
      <c r="G328" s="21" t="n"/>
      <c r="H328" s="20" t="n"/>
      <c r="I328" s="22" t="n"/>
      <c r="J328" s="19">
        <f>IF(OR(F328="",G328=""),"",MAX(0,G328-F328))</f>
        <v/>
      </c>
      <c r="K328" s="23">
        <f>IF(OR(I328="",J328=""),"",I328*J328)</f>
        <v/>
      </c>
      <c r="L328" s="22" t="n"/>
      <c r="M328" s="23">
        <f>IF(K328="","",MAX(0,K328-IF(L328="",0,L328)))</f>
        <v/>
      </c>
      <c r="N328" s="20" t="n"/>
      <c r="O328" s="20" t="n"/>
      <c r="P328" s="20" t="n"/>
      <c r="Q328" s="20" t="n"/>
      <c r="R328" s="20" t="n"/>
      <c r="S328" s="19">
        <f>IF(A328="","",IF(COUNTIF('Email Log'!B:B,A328)&gt;0,"YES","NO"))</f>
        <v/>
      </c>
    </row>
    <row r="329">
      <c r="A329" s="20" t="n"/>
      <c r="B329" s="20" t="n"/>
      <c r="C329" s="20" t="n"/>
      <c r="D329" s="20" t="n"/>
      <c r="E329" s="20" t="n"/>
      <c r="F329" s="21" t="n"/>
      <c r="G329" s="21" t="n"/>
      <c r="H329" s="20" t="n"/>
      <c r="I329" s="22" t="n"/>
      <c r="J329" s="19">
        <f>IF(OR(F329="",G329=""),"",MAX(0,G329-F329))</f>
        <v/>
      </c>
      <c r="K329" s="23">
        <f>IF(OR(I329="",J329=""),"",I329*J329)</f>
        <v/>
      </c>
      <c r="L329" s="22" t="n"/>
      <c r="M329" s="23">
        <f>IF(K329="","",MAX(0,K329-IF(L329="",0,L329)))</f>
        <v/>
      </c>
      <c r="N329" s="20" t="n"/>
      <c r="O329" s="20" t="n"/>
      <c r="P329" s="20" t="n"/>
      <c r="Q329" s="20" t="n"/>
      <c r="R329" s="20" t="n"/>
      <c r="S329" s="19">
        <f>IF(A329="","",IF(COUNTIF('Email Log'!B:B,A329)&gt;0,"YES","NO"))</f>
        <v/>
      </c>
    </row>
    <row r="330">
      <c r="A330" s="20" t="n"/>
      <c r="B330" s="20" t="n"/>
      <c r="C330" s="20" t="n"/>
      <c r="D330" s="20" t="n"/>
      <c r="E330" s="20" t="n"/>
      <c r="F330" s="21" t="n"/>
      <c r="G330" s="21" t="n"/>
      <c r="H330" s="20" t="n"/>
      <c r="I330" s="22" t="n"/>
      <c r="J330" s="19">
        <f>IF(OR(F330="",G330=""),"",MAX(0,G330-F330))</f>
        <v/>
      </c>
      <c r="K330" s="23">
        <f>IF(OR(I330="",J330=""),"",I330*J330)</f>
        <v/>
      </c>
      <c r="L330" s="22" t="n"/>
      <c r="M330" s="23">
        <f>IF(K330="","",MAX(0,K330-IF(L330="",0,L330)))</f>
        <v/>
      </c>
      <c r="N330" s="20" t="n"/>
      <c r="O330" s="20" t="n"/>
      <c r="P330" s="20" t="n"/>
      <c r="Q330" s="20" t="n"/>
      <c r="R330" s="20" t="n"/>
      <c r="S330" s="19">
        <f>IF(A330="","",IF(COUNTIF('Email Log'!B:B,A330)&gt;0,"YES","NO"))</f>
        <v/>
      </c>
    </row>
    <row r="331">
      <c r="A331" s="20" t="n"/>
      <c r="B331" s="20" t="n"/>
      <c r="C331" s="20" t="n"/>
      <c r="D331" s="20" t="n"/>
      <c r="E331" s="20" t="n"/>
      <c r="F331" s="21" t="n"/>
      <c r="G331" s="21" t="n"/>
      <c r="H331" s="20" t="n"/>
      <c r="I331" s="22" t="n"/>
      <c r="J331" s="19">
        <f>IF(OR(F331="",G331=""),"",MAX(0,G331-F331))</f>
        <v/>
      </c>
      <c r="K331" s="23">
        <f>IF(OR(I331="",J331=""),"",I331*J331)</f>
        <v/>
      </c>
      <c r="L331" s="22" t="n"/>
      <c r="M331" s="23">
        <f>IF(K331="","",MAX(0,K331-IF(L331="",0,L331)))</f>
        <v/>
      </c>
      <c r="N331" s="20" t="n"/>
      <c r="O331" s="20" t="n"/>
      <c r="P331" s="20" t="n"/>
      <c r="Q331" s="20" t="n"/>
      <c r="R331" s="20" t="n"/>
      <c r="S331" s="19">
        <f>IF(A331="","",IF(COUNTIF('Email Log'!B:B,A331)&gt;0,"YES","NO"))</f>
        <v/>
      </c>
    </row>
    <row r="332">
      <c r="A332" s="20" t="n"/>
      <c r="B332" s="20" t="n"/>
      <c r="C332" s="20" t="n"/>
      <c r="D332" s="20" t="n"/>
      <c r="E332" s="20" t="n"/>
      <c r="F332" s="21" t="n"/>
      <c r="G332" s="21" t="n"/>
      <c r="H332" s="20" t="n"/>
      <c r="I332" s="22" t="n"/>
      <c r="J332" s="19">
        <f>IF(OR(F332="",G332=""),"",MAX(0,G332-F332))</f>
        <v/>
      </c>
      <c r="K332" s="23">
        <f>IF(OR(I332="",J332=""),"",I332*J332)</f>
        <v/>
      </c>
      <c r="L332" s="22" t="n"/>
      <c r="M332" s="23">
        <f>IF(K332="","",MAX(0,K332-IF(L332="",0,L332)))</f>
        <v/>
      </c>
      <c r="N332" s="20" t="n"/>
      <c r="O332" s="20" t="n"/>
      <c r="P332" s="20" t="n"/>
      <c r="Q332" s="20" t="n"/>
      <c r="R332" s="20" t="n"/>
      <c r="S332" s="19">
        <f>IF(A332="","",IF(COUNTIF('Email Log'!B:B,A332)&gt;0,"YES","NO"))</f>
        <v/>
      </c>
    </row>
    <row r="333">
      <c r="A333" s="20" t="n"/>
      <c r="B333" s="20" t="n"/>
      <c r="C333" s="20" t="n"/>
      <c r="D333" s="20" t="n"/>
      <c r="E333" s="20" t="n"/>
      <c r="F333" s="21" t="n"/>
      <c r="G333" s="21" t="n"/>
      <c r="H333" s="20" t="n"/>
      <c r="I333" s="22" t="n"/>
      <c r="J333" s="19">
        <f>IF(OR(F333="",G333=""),"",MAX(0,G333-F333))</f>
        <v/>
      </c>
      <c r="K333" s="23">
        <f>IF(OR(I333="",J333=""),"",I333*J333)</f>
        <v/>
      </c>
      <c r="L333" s="22" t="n"/>
      <c r="M333" s="23">
        <f>IF(K333="","",MAX(0,K333-IF(L333="",0,L333)))</f>
        <v/>
      </c>
      <c r="N333" s="20" t="n"/>
      <c r="O333" s="20" t="n"/>
      <c r="P333" s="20" t="n"/>
      <c r="Q333" s="20" t="n"/>
      <c r="R333" s="20" t="n"/>
      <c r="S333" s="19">
        <f>IF(A333="","",IF(COUNTIF('Email Log'!B:B,A333)&gt;0,"YES","NO"))</f>
        <v/>
      </c>
    </row>
    <row r="334">
      <c r="A334" s="20" t="n"/>
      <c r="B334" s="20" t="n"/>
      <c r="C334" s="20" t="n"/>
      <c r="D334" s="20" t="n"/>
      <c r="E334" s="20" t="n"/>
      <c r="F334" s="21" t="n"/>
      <c r="G334" s="21" t="n"/>
      <c r="H334" s="20" t="n"/>
      <c r="I334" s="22" t="n"/>
      <c r="J334" s="19">
        <f>IF(OR(F334="",G334=""),"",MAX(0,G334-F334))</f>
        <v/>
      </c>
      <c r="K334" s="23">
        <f>IF(OR(I334="",J334=""),"",I334*J334)</f>
        <v/>
      </c>
      <c r="L334" s="22" t="n"/>
      <c r="M334" s="23">
        <f>IF(K334="","",MAX(0,K334-IF(L334="",0,L334)))</f>
        <v/>
      </c>
      <c r="N334" s="20" t="n"/>
      <c r="O334" s="20" t="n"/>
      <c r="P334" s="20" t="n"/>
      <c r="Q334" s="20" t="n"/>
      <c r="R334" s="20" t="n"/>
      <c r="S334" s="19">
        <f>IF(A334="","",IF(COUNTIF('Email Log'!B:B,A334)&gt;0,"YES","NO"))</f>
        <v/>
      </c>
    </row>
    <row r="335">
      <c r="A335" s="20" t="n"/>
      <c r="B335" s="20" t="n"/>
      <c r="C335" s="20" t="n"/>
      <c r="D335" s="20" t="n"/>
      <c r="E335" s="20" t="n"/>
      <c r="F335" s="21" t="n"/>
      <c r="G335" s="21" t="n"/>
      <c r="H335" s="20" t="n"/>
      <c r="I335" s="22" t="n"/>
      <c r="J335" s="19">
        <f>IF(OR(F335="",G335=""),"",MAX(0,G335-F335))</f>
        <v/>
      </c>
      <c r="K335" s="23">
        <f>IF(OR(I335="",J335=""),"",I335*J335)</f>
        <v/>
      </c>
      <c r="L335" s="22" t="n"/>
      <c r="M335" s="23">
        <f>IF(K335="","",MAX(0,K335-IF(L335="",0,L335)))</f>
        <v/>
      </c>
      <c r="N335" s="20" t="n"/>
      <c r="O335" s="20" t="n"/>
      <c r="P335" s="20" t="n"/>
      <c r="Q335" s="20" t="n"/>
      <c r="R335" s="20" t="n"/>
      <c r="S335" s="19">
        <f>IF(A335="","",IF(COUNTIF('Email Log'!B:B,A335)&gt;0,"YES","NO"))</f>
        <v/>
      </c>
    </row>
    <row r="336">
      <c r="A336" s="20" t="n"/>
      <c r="B336" s="20" t="n"/>
      <c r="C336" s="20" t="n"/>
      <c r="D336" s="20" t="n"/>
      <c r="E336" s="20" t="n"/>
      <c r="F336" s="21" t="n"/>
      <c r="G336" s="21" t="n"/>
      <c r="H336" s="20" t="n"/>
      <c r="I336" s="22" t="n"/>
      <c r="J336" s="19">
        <f>IF(OR(F336="",G336=""),"",MAX(0,G336-F336))</f>
        <v/>
      </c>
      <c r="K336" s="23">
        <f>IF(OR(I336="",J336=""),"",I336*J336)</f>
        <v/>
      </c>
      <c r="L336" s="22" t="n"/>
      <c r="M336" s="23">
        <f>IF(K336="","",MAX(0,K336-IF(L336="",0,L336)))</f>
        <v/>
      </c>
      <c r="N336" s="20" t="n"/>
      <c r="O336" s="20" t="n"/>
      <c r="P336" s="20" t="n"/>
      <c r="Q336" s="20" t="n"/>
      <c r="R336" s="20" t="n"/>
      <c r="S336" s="19">
        <f>IF(A336="","",IF(COUNTIF('Email Log'!B:B,A336)&gt;0,"YES","NO"))</f>
        <v/>
      </c>
    </row>
    <row r="337">
      <c r="A337" s="20" t="n"/>
      <c r="B337" s="20" t="n"/>
      <c r="C337" s="20" t="n"/>
      <c r="D337" s="20" t="n"/>
      <c r="E337" s="20" t="n"/>
      <c r="F337" s="21" t="n"/>
      <c r="G337" s="21" t="n"/>
      <c r="H337" s="20" t="n"/>
      <c r="I337" s="22" t="n"/>
      <c r="J337" s="19">
        <f>IF(OR(F337="",G337=""),"",MAX(0,G337-F337))</f>
        <v/>
      </c>
      <c r="K337" s="23">
        <f>IF(OR(I337="",J337=""),"",I337*J337)</f>
        <v/>
      </c>
      <c r="L337" s="22" t="n"/>
      <c r="M337" s="23">
        <f>IF(K337="","",MAX(0,K337-IF(L337="",0,L337)))</f>
        <v/>
      </c>
      <c r="N337" s="20" t="n"/>
      <c r="O337" s="20" t="n"/>
      <c r="P337" s="20" t="n"/>
      <c r="Q337" s="20" t="n"/>
      <c r="R337" s="20" t="n"/>
      <c r="S337" s="19">
        <f>IF(A337="","",IF(COUNTIF('Email Log'!B:B,A337)&gt;0,"YES","NO"))</f>
        <v/>
      </c>
    </row>
    <row r="338">
      <c r="A338" s="20" t="n"/>
      <c r="B338" s="20" t="n"/>
      <c r="C338" s="20" t="n"/>
      <c r="D338" s="20" t="n"/>
      <c r="E338" s="20" t="n"/>
      <c r="F338" s="21" t="n"/>
      <c r="G338" s="21" t="n"/>
      <c r="H338" s="20" t="n"/>
      <c r="I338" s="22" t="n"/>
      <c r="J338" s="19">
        <f>IF(OR(F338="",G338=""),"",MAX(0,G338-F338))</f>
        <v/>
      </c>
      <c r="K338" s="23">
        <f>IF(OR(I338="",J338=""),"",I338*J338)</f>
        <v/>
      </c>
      <c r="L338" s="22" t="n"/>
      <c r="M338" s="23">
        <f>IF(K338="","",MAX(0,K338-IF(L338="",0,L338)))</f>
        <v/>
      </c>
      <c r="N338" s="20" t="n"/>
      <c r="O338" s="20" t="n"/>
      <c r="P338" s="20" t="n"/>
      <c r="Q338" s="20" t="n"/>
      <c r="R338" s="20" t="n"/>
      <c r="S338" s="19">
        <f>IF(A338="","",IF(COUNTIF('Email Log'!B:B,A338)&gt;0,"YES","NO"))</f>
        <v/>
      </c>
    </row>
    <row r="339">
      <c r="A339" s="20" t="n"/>
      <c r="B339" s="20" t="n"/>
      <c r="C339" s="20" t="n"/>
      <c r="D339" s="20" t="n"/>
      <c r="E339" s="20" t="n"/>
      <c r="F339" s="21" t="n"/>
      <c r="G339" s="21" t="n"/>
      <c r="H339" s="20" t="n"/>
      <c r="I339" s="22" t="n"/>
      <c r="J339" s="19">
        <f>IF(OR(F339="",G339=""),"",MAX(0,G339-F339))</f>
        <v/>
      </c>
      <c r="K339" s="23">
        <f>IF(OR(I339="",J339=""),"",I339*J339)</f>
        <v/>
      </c>
      <c r="L339" s="22" t="n"/>
      <c r="M339" s="23">
        <f>IF(K339="","",MAX(0,K339-IF(L339="",0,L339)))</f>
        <v/>
      </c>
      <c r="N339" s="20" t="n"/>
      <c r="O339" s="20" t="n"/>
      <c r="P339" s="20" t="n"/>
      <c r="Q339" s="20" t="n"/>
      <c r="R339" s="20" t="n"/>
      <c r="S339" s="19">
        <f>IF(A339="","",IF(COUNTIF('Email Log'!B:B,A339)&gt;0,"YES","NO"))</f>
        <v/>
      </c>
    </row>
    <row r="340">
      <c r="A340" s="20" t="n"/>
      <c r="B340" s="20" t="n"/>
      <c r="C340" s="20" t="n"/>
      <c r="D340" s="20" t="n"/>
      <c r="E340" s="20" t="n"/>
      <c r="F340" s="21" t="n"/>
      <c r="G340" s="21" t="n"/>
      <c r="H340" s="20" t="n"/>
      <c r="I340" s="22" t="n"/>
      <c r="J340" s="19">
        <f>IF(OR(F340="",G340=""),"",MAX(0,G340-F340))</f>
        <v/>
      </c>
      <c r="K340" s="23">
        <f>IF(OR(I340="",J340=""),"",I340*J340)</f>
        <v/>
      </c>
      <c r="L340" s="22" t="n"/>
      <c r="M340" s="23">
        <f>IF(K340="","",MAX(0,K340-IF(L340="",0,L340)))</f>
        <v/>
      </c>
      <c r="N340" s="20" t="n"/>
      <c r="O340" s="20" t="n"/>
      <c r="P340" s="20" t="n"/>
      <c r="Q340" s="20" t="n"/>
      <c r="R340" s="20" t="n"/>
      <c r="S340" s="19">
        <f>IF(A340="","",IF(COUNTIF('Email Log'!B:B,A340)&gt;0,"YES","NO"))</f>
        <v/>
      </c>
    </row>
    <row r="341">
      <c r="A341" s="20" t="n"/>
      <c r="B341" s="20" t="n"/>
      <c r="C341" s="20" t="n"/>
      <c r="D341" s="20" t="n"/>
      <c r="E341" s="20" t="n"/>
      <c r="F341" s="21" t="n"/>
      <c r="G341" s="21" t="n"/>
      <c r="H341" s="20" t="n"/>
      <c r="I341" s="22" t="n"/>
      <c r="J341" s="19">
        <f>IF(OR(F341="",G341=""),"",MAX(0,G341-F341))</f>
        <v/>
      </c>
      <c r="K341" s="23">
        <f>IF(OR(I341="",J341=""),"",I341*J341)</f>
        <v/>
      </c>
      <c r="L341" s="22" t="n"/>
      <c r="M341" s="23">
        <f>IF(K341="","",MAX(0,K341-IF(L341="",0,L341)))</f>
        <v/>
      </c>
      <c r="N341" s="20" t="n"/>
      <c r="O341" s="20" t="n"/>
      <c r="P341" s="20" t="n"/>
      <c r="Q341" s="20" t="n"/>
      <c r="R341" s="20" t="n"/>
      <c r="S341" s="19">
        <f>IF(A341="","",IF(COUNTIF('Email Log'!B:B,A341)&gt;0,"YES","NO"))</f>
        <v/>
      </c>
    </row>
    <row r="342">
      <c r="A342" s="20" t="n"/>
      <c r="B342" s="20" t="n"/>
      <c r="C342" s="20" t="n"/>
      <c r="D342" s="20" t="n"/>
      <c r="E342" s="20" t="n"/>
      <c r="F342" s="21" t="n"/>
      <c r="G342" s="21" t="n"/>
      <c r="H342" s="20" t="n"/>
      <c r="I342" s="22" t="n"/>
      <c r="J342" s="19">
        <f>IF(OR(F342="",G342=""),"",MAX(0,G342-F342))</f>
        <v/>
      </c>
      <c r="K342" s="23">
        <f>IF(OR(I342="",J342=""),"",I342*J342)</f>
        <v/>
      </c>
      <c r="L342" s="22" t="n"/>
      <c r="M342" s="23">
        <f>IF(K342="","",MAX(0,K342-IF(L342="",0,L342)))</f>
        <v/>
      </c>
      <c r="N342" s="20" t="n"/>
      <c r="O342" s="20" t="n"/>
      <c r="P342" s="20" t="n"/>
      <c r="Q342" s="20" t="n"/>
      <c r="R342" s="20" t="n"/>
      <c r="S342" s="19">
        <f>IF(A342="","",IF(COUNTIF('Email Log'!B:B,A342)&gt;0,"YES","NO"))</f>
        <v/>
      </c>
    </row>
    <row r="343">
      <c r="A343" s="20" t="n"/>
      <c r="B343" s="20" t="n"/>
      <c r="C343" s="20" t="n"/>
      <c r="D343" s="20" t="n"/>
      <c r="E343" s="20" t="n"/>
      <c r="F343" s="21" t="n"/>
      <c r="G343" s="21" t="n"/>
      <c r="H343" s="20" t="n"/>
      <c r="I343" s="22" t="n"/>
      <c r="J343" s="19">
        <f>IF(OR(F343="",G343=""),"",MAX(0,G343-F343))</f>
        <v/>
      </c>
      <c r="K343" s="23">
        <f>IF(OR(I343="",J343=""),"",I343*J343)</f>
        <v/>
      </c>
      <c r="L343" s="22" t="n"/>
      <c r="M343" s="23">
        <f>IF(K343="","",MAX(0,K343-IF(L343="",0,L343)))</f>
        <v/>
      </c>
      <c r="N343" s="20" t="n"/>
      <c r="O343" s="20" t="n"/>
      <c r="P343" s="20" t="n"/>
      <c r="Q343" s="20" t="n"/>
      <c r="R343" s="20" t="n"/>
      <c r="S343" s="19">
        <f>IF(A343="","",IF(COUNTIF('Email Log'!B:B,A343)&gt;0,"YES","NO"))</f>
        <v/>
      </c>
    </row>
    <row r="344">
      <c r="A344" s="20" t="n"/>
      <c r="B344" s="20" t="n"/>
      <c r="C344" s="20" t="n"/>
      <c r="D344" s="20" t="n"/>
      <c r="E344" s="20" t="n"/>
      <c r="F344" s="21" t="n"/>
      <c r="G344" s="21" t="n"/>
      <c r="H344" s="20" t="n"/>
      <c r="I344" s="22" t="n"/>
      <c r="J344" s="19">
        <f>IF(OR(F344="",G344=""),"",MAX(0,G344-F344))</f>
        <v/>
      </c>
      <c r="K344" s="23">
        <f>IF(OR(I344="",J344=""),"",I344*J344)</f>
        <v/>
      </c>
      <c r="L344" s="22" t="n"/>
      <c r="M344" s="23">
        <f>IF(K344="","",MAX(0,K344-IF(L344="",0,L344)))</f>
        <v/>
      </c>
      <c r="N344" s="20" t="n"/>
      <c r="O344" s="20" t="n"/>
      <c r="P344" s="20" t="n"/>
      <c r="Q344" s="20" t="n"/>
      <c r="R344" s="20" t="n"/>
      <c r="S344" s="19">
        <f>IF(A344="","",IF(COUNTIF('Email Log'!B:B,A344)&gt;0,"YES","NO"))</f>
        <v/>
      </c>
    </row>
    <row r="345">
      <c r="A345" s="20" t="n"/>
      <c r="B345" s="20" t="n"/>
      <c r="C345" s="20" t="n"/>
      <c r="D345" s="20" t="n"/>
      <c r="E345" s="20" t="n"/>
      <c r="F345" s="21" t="n"/>
      <c r="G345" s="21" t="n"/>
      <c r="H345" s="20" t="n"/>
      <c r="I345" s="22" t="n"/>
      <c r="J345" s="19">
        <f>IF(OR(F345="",G345=""),"",MAX(0,G345-F345))</f>
        <v/>
      </c>
      <c r="K345" s="23">
        <f>IF(OR(I345="",J345=""),"",I345*J345)</f>
        <v/>
      </c>
      <c r="L345" s="22" t="n"/>
      <c r="M345" s="23">
        <f>IF(K345="","",MAX(0,K345-IF(L345="",0,L345)))</f>
        <v/>
      </c>
      <c r="N345" s="20" t="n"/>
      <c r="O345" s="20" t="n"/>
      <c r="P345" s="20" t="n"/>
      <c r="Q345" s="20" t="n"/>
      <c r="R345" s="20" t="n"/>
      <c r="S345" s="19">
        <f>IF(A345="","",IF(COUNTIF('Email Log'!B:B,A345)&gt;0,"YES","NO"))</f>
        <v/>
      </c>
    </row>
    <row r="346">
      <c r="A346" s="20" t="n"/>
      <c r="B346" s="20" t="n"/>
      <c r="C346" s="20" t="n"/>
      <c r="D346" s="20" t="n"/>
      <c r="E346" s="20" t="n"/>
      <c r="F346" s="21" t="n"/>
      <c r="G346" s="21" t="n"/>
      <c r="H346" s="20" t="n"/>
      <c r="I346" s="22" t="n"/>
      <c r="J346" s="19">
        <f>IF(OR(F346="",G346=""),"",MAX(0,G346-F346))</f>
        <v/>
      </c>
      <c r="K346" s="23">
        <f>IF(OR(I346="",J346=""),"",I346*J346)</f>
        <v/>
      </c>
      <c r="L346" s="22" t="n"/>
      <c r="M346" s="23">
        <f>IF(K346="","",MAX(0,K346-IF(L346="",0,L346)))</f>
        <v/>
      </c>
      <c r="N346" s="20" t="n"/>
      <c r="O346" s="20" t="n"/>
      <c r="P346" s="20" t="n"/>
      <c r="Q346" s="20" t="n"/>
      <c r="R346" s="20" t="n"/>
      <c r="S346" s="19">
        <f>IF(A346="","",IF(COUNTIF('Email Log'!B:B,A346)&gt;0,"YES","NO"))</f>
        <v/>
      </c>
    </row>
    <row r="347">
      <c r="A347" s="20" t="n"/>
      <c r="B347" s="20" t="n"/>
      <c r="C347" s="20" t="n"/>
      <c r="D347" s="20" t="n"/>
      <c r="E347" s="20" t="n"/>
      <c r="F347" s="21" t="n"/>
      <c r="G347" s="21" t="n"/>
      <c r="H347" s="20" t="n"/>
      <c r="I347" s="22" t="n"/>
      <c r="J347" s="19">
        <f>IF(OR(F347="",G347=""),"",MAX(0,G347-F347))</f>
        <v/>
      </c>
      <c r="K347" s="23">
        <f>IF(OR(I347="",J347=""),"",I347*J347)</f>
        <v/>
      </c>
      <c r="L347" s="22" t="n"/>
      <c r="M347" s="23">
        <f>IF(K347="","",MAX(0,K347-IF(L347="",0,L347)))</f>
        <v/>
      </c>
      <c r="N347" s="20" t="n"/>
      <c r="O347" s="20" t="n"/>
      <c r="P347" s="20" t="n"/>
      <c r="Q347" s="20" t="n"/>
      <c r="R347" s="20" t="n"/>
      <c r="S347" s="19">
        <f>IF(A347="","",IF(COUNTIF('Email Log'!B:B,A347)&gt;0,"YES","NO"))</f>
        <v/>
      </c>
    </row>
    <row r="348">
      <c r="A348" s="20" t="n"/>
      <c r="B348" s="20" t="n"/>
      <c r="C348" s="20" t="n"/>
      <c r="D348" s="20" t="n"/>
      <c r="E348" s="20" t="n"/>
      <c r="F348" s="21" t="n"/>
      <c r="G348" s="21" t="n"/>
      <c r="H348" s="20" t="n"/>
      <c r="I348" s="22" t="n"/>
      <c r="J348" s="19">
        <f>IF(OR(F348="",G348=""),"",MAX(0,G348-F348))</f>
        <v/>
      </c>
      <c r="K348" s="23">
        <f>IF(OR(I348="",J348=""),"",I348*J348)</f>
        <v/>
      </c>
      <c r="L348" s="22" t="n"/>
      <c r="M348" s="23">
        <f>IF(K348="","",MAX(0,K348-IF(L348="",0,L348)))</f>
        <v/>
      </c>
      <c r="N348" s="20" t="n"/>
      <c r="O348" s="20" t="n"/>
      <c r="P348" s="20" t="n"/>
      <c r="Q348" s="20" t="n"/>
      <c r="R348" s="20" t="n"/>
      <c r="S348" s="19">
        <f>IF(A348="","",IF(COUNTIF('Email Log'!B:B,A348)&gt;0,"YES","NO"))</f>
        <v/>
      </c>
    </row>
    <row r="349">
      <c r="A349" s="20" t="n"/>
      <c r="B349" s="20" t="n"/>
      <c r="C349" s="20" t="n"/>
      <c r="D349" s="20" t="n"/>
      <c r="E349" s="20" t="n"/>
      <c r="F349" s="21" t="n"/>
      <c r="G349" s="21" t="n"/>
      <c r="H349" s="20" t="n"/>
      <c r="I349" s="22" t="n"/>
      <c r="J349" s="19">
        <f>IF(OR(F349="",G349=""),"",MAX(0,G349-F349))</f>
        <v/>
      </c>
      <c r="K349" s="23">
        <f>IF(OR(I349="",J349=""),"",I349*J349)</f>
        <v/>
      </c>
      <c r="L349" s="22" t="n"/>
      <c r="M349" s="23">
        <f>IF(K349="","",MAX(0,K349-IF(L349="",0,L349)))</f>
        <v/>
      </c>
      <c r="N349" s="20" t="n"/>
      <c r="O349" s="20" t="n"/>
      <c r="P349" s="20" t="n"/>
      <c r="Q349" s="20" t="n"/>
      <c r="R349" s="20" t="n"/>
      <c r="S349" s="19">
        <f>IF(A349="","",IF(COUNTIF('Email Log'!B:B,A349)&gt;0,"YES","NO"))</f>
        <v/>
      </c>
    </row>
    <row r="350">
      <c r="A350" s="20" t="n"/>
      <c r="B350" s="20" t="n"/>
      <c r="C350" s="20" t="n"/>
      <c r="D350" s="20" t="n"/>
      <c r="E350" s="20" t="n"/>
      <c r="F350" s="21" t="n"/>
      <c r="G350" s="21" t="n"/>
      <c r="H350" s="20" t="n"/>
      <c r="I350" s="22" t="n"/>
      <c r="J350" s="19">
        <f>IF(OR(F350="",G350=""),"",MAX(0,G350-F350))</f>
        <v/>
      </c>
      <c r="K350" s="23">
        <f>IF(OR(I350="",J350=""),"",I350*J350)</f>
        <v/>
      </c>
      <c r="L350" s="22" t="n"/>
      <c r="M350" s="23">
        <f>IF(K350="","",MAX(0,K350-IF(L350="",0,L350)))</f>
        <v/>
      </c>
      <c r="N350" s="20" t="n"/>
      <c r="O350" s="20" t="n"/>
      <c r="P350" s="20" t="n"/>
      <c r="Q350" s="20" t="n"/>
      <c r="R350" s="20" t="n"/>
      <c r="S350" s="19">
        <f>IF(A350="","",IF(COUNTIF('Email Log'!B:B,A350)&gt;0,"YES","NO"))</f>
        <v/>
      </c>
    </row>
    <row r="351">
      <c r="A351" s="20" t="n"/>
      <c r="B351" s="20" t="n"/>
      <c r="C351" s="20" t="n"/>
      <c r="D351" s="20" t="n"/>
      <c r="E351" s="20" t="n"/>
      <c r="F351" s="21" t="n"/>
      <c r="G351" s="21" t="n"/>
      <c r="H351" s="20" t="n"/>
      <c r="I351" s="22" t="n"/>
      <c r="J351" s="19">
        <f>IF(OR(F351="",G351=""),"",MAX(0,G351-F351))</f>
        <v/>
      </c>
      <c r="K351" s="23">
        <f>IF(OR(I351="",J351=""),"",I351*J351)</f>
        <v/>
      </c>
      <c r="L351" s="22" t="n"/>
      <c r="M351" s="23">
        <f>IF(K351="","",MAX(0,K351-IF(L351="",0,L351)))</f>
        <v/>
      </c>
      <c r="N351" s="20" t="n"/>
      <c r="O351" s="20" t="n"/>
      <c r="P351" s="20" t="n"/>
      <c r="Q351" s="20" t="n"/>
      <c r="R351" s="20" t="n"/>
      <c r="S351" s="19">
        <f>IF(A351="","",IF(COUNTIF('Email Log'!B:B,A351)&gt;0,"YES","NO"))</f>
        <v/>
      </c>
    </row>
    <row r="352">
      <c r="A352" s="20" t="n"/>
      <c r="B352" s="20" t="n"/>
      <c r="C352" s="20" t="n"/>
      <c r="D352" s="20" t="n"/>
      <c r="E352" s="20" t="n"/>
      <c r="F352" s="21" t="n"/>
      <c r="G352" s="21" t="n"/>
      <c r="H352" s="20" t="n"/>
      <c r="I352" s="22" t="n"/>
      <c r="J352" s="19">
        <f>IF(OR(F352="",G352=""),"",MAX(0,G352-F352))</f>
        <v/>
      </c>
      <c r="K352" s="23">
        <f>IF(OR(I352="",J352=""),"",I352*J352)</f>
        <v/>
      </c>
      <c r="L352" s="22" t="n"/>
      <c r="M352" s="23">
        <f>IF(K352="","",MAX(0,K352-IF(L352="",0,L352)))</f>
        <v/>
      </c>
      <c r="N352" s="20" t="n"/>
      <c r="O352" s="20" t="n"/>
      <c r="P352" s="20" t="n"/>
      <c r="Q352" s="20" t="n"/>
      <c r="R352" s="20" t="n"/>
      <c r="S352" s="19">
        <f>IF(A352="","",IF(COUNTIF('Email Log'!B:B,A352)&gt;0,"YES","NO"))</f>
        <v/>
      </c>
    </row>
    <row r="353">
      <c r="A353" s="20" t="n"/>
      <c r="B353" s="20" t="n"/>
      <c r="C353" s="20" t="n"/>
      <c r="D353" s="20" t="n"/>
      <c r="E353" s="20" t="n"/>
      <c r="F353" s="21" t="n"/>
      <c r="G353" s="21" t="n"/>
      <c r="H353" s="20" t="n"/>
      <c r="I353" s="22" t="n"/>
      <c r="J353" s="19">
        <f>IF(OR(F353="",G353=""),"",MAX(0,G353-F353))</f>
        <v/>
      </c>
      <c r="K353" s="23">
        <f>IF(OR(I353="",J353=""),"",I353*J353)</f>
        <v/>
      </c>
      <c r="L353" s="22" t="n"/>
      <c r="M353" s="23">
        <f>IF(K353="","",MAX(0,K353-IF(L353="",0,L353)))</f>
        <v/>
      </c>
      <c r="N353" s="20" t="n"/>
      <c r="O353" s="20" t="n"/>
      <c r="P353" s="20" t="n"/>
      <c r="Q353" s="20" t="n"/>
      <c r="R353" s="20" t="n"/>
      <c r="S353" s="19">
        <f>IF(A353="","",IF(COUNTIF('Email Log'!B:B,A353)&gt;0,"YES","NO"))</f>
        <v/>
      </c>
    </row>
    <row r="354">
      <c r="A354" s="20" t="n"/>
      <c r="B354" s="20" t="n"/>
      <c r="C354" s="20" t="n"/>
      <c r="D354" s="20" t="n"/>
      <c r="E354" s="20" t="n"/>
      <c r="F354" s="21" t="n"/>
      <c r="G354" s="21" t="n"/>
      <c r="H354" s="20" t="n"/>
      <c r="I354" s="22" t="n"/>
      <c r="J354" s="19">
        <f>IF(OR(F354="",G354=""),"",MAX(0,G354-F354))</f>
        <v/>
      </c>
      <c r="K354" s="23">
        <f>IF(OR(I354="",J354=""),"",I354*J354)</f>
        <v/>
      </c>
      <c r="L354" s="22" t="n"/>
      <c r="M354" s="23">
        <f>IF(K354="","",MAX(0,K354-IF(L354="",0,L354)))</f>
        <v/>
      </c>
      <c r="N354" s="20" t="n"/>
      <c r="O354" s="20" t="n"/>
      <c r="P354" s="20" t="n"/>
      <c r="Q354" s="20" t="n"/>
      <c r="R354" s="20" t="n"/>
      <c r="S354" s="19">
        <f>IF(A354="","",IF(COUNTIF('Email Log'!B:B,A354)&gt;0,"YES","NO"))</f>
        <v/>
      </c>
    </row>
    <row r="355">
      <c r="A355" s="20" t="n"/>
      <c r="B355" s="20" t="n"/>
      <c r="C355" s="20" t="n"/>
      <c r="D355" s="20" t="n"/>
      <c r="E355" s="20" t="n"/>
      <c r="F355" s="21" t="n"/>
      <c r="G355" s="21" t="n"/>
      <c r="H355" s="20" t="n"/>
      <c r="I355" s="22" t="n"/>
      <c r="J355" s="19">
        <f>IF(OR(F355="",G355=""),"",MAX(0,G355-F355))</f>
        <v/>
      </c>
      <c r="K355" s="23">
        <f>IF(OR(I355="",J355=""),"",I355*J355)</f>
        <v/>
      </c>
      <c r="L355" s="22" t="n"/>
      <c r="M355" s="23">
        <f>IF(K355="","",MAX(0,K355-IF(L355="",0,L355)))</f>
        <v/>
      </c>
      <c r="N355" s="20" t="n"/>
      <c r="O355" s="20" t="n"/>
      <c r="P355" s="20" t="n"/>
      <c r="Q355" s="20" t="n"/>
      <c r="R355" s="20" t="n"/>
      <c r="S355" s="19">
        <f>IF(A355="","",IF(COUNTIF('Email Log'!B:B,A355)&gt;0,"YES","NO"))</f>
        <v/>
      </c>
    </row>
    <row r="356">
      <c r="A356" s="20" t="n"/>
      <c r="B356" s="20" t="n"/>
      <c r="C356" s="20" t="n"/>
      <c r="D356" s="20" t="n"/>
      <c r="E356" s="20" t="n"/>
      <c r="F356" s="21" t="n"/>
      <c r="G356" s="21" t="n"/>
      <c r="H356" s="20" t="n"/>
      <c r="I356" s="22" t="n"/>
      <c r="J356" s="19">
        <f>IF(OR(F356="",G356=""),"",MAX(0,G356-F356))</f>
        <v/>
      </c>
      <c r="K356" s="23">
        <f>IF(OR(I356="",J356=""),"",I356*J356)</f>
        <v/>
      </c>
      <c r="L356" s="22" t="n"/>
      <c r="M356" s="23">
        <f>IF(K356="","",MAX(0,K356-IF(L356="",0,L356)))</f>
        <v/>
      </c>
      <c r="N356" s="20" t="n"/>
      <c r="O356" s="20" t="n"/>
      <c r="P356" s="20" t="n"/>
      <c r="Q356" s="20" t="n"/>
      <c r="R356" s="20" t="n"/>
      <c r="S356" s="19">
        <f>IF(A356="","",IF(COUNTIF('Email Log'!B:B,A356)&gt;0,"YES","NO"))</f>
        <v/>
      </c>
    </row>
    <row r="357">
      <c r="A357" s="20" t="n"/>
      <c r="B357" s="20" t="n"/>
      <c r="C357" s="20" t="n"/>
      <c r="D357" s="20" t="n"/>
      <c r="E357" s="20" t="n"/>
      <c r="F357" s="21" t="n"/>
      <c r="G357" s="21" t="n"/>
      <c r="H357" s="20" t="n"/>
      <c r="I357" s="22" t="n"/>
      <c r="J357" s="19">
        <f>IF(OR(F357="",G357=""),"",MAX(0,G357-F357))</f>
        <v/>
      </c>
      <c r="K357" s="23">
        <f>IF(OR(I357="",J357=""),"",I357*J357)</f>
        <v/>
      </c>
      <c r="L357" s="22" t="n"/>
      <c r="M357" s="23">
        <f>IF(K357="","",MAX(0,K357-IF(L357="",0,L357)))</f>
        <v/>
      </c>
      <c r="N357" s="20" t="n"/>
      <c r="O357" s="20" t="n"/>
      <c r="P357" s="20" t="n"/>
      <c r="Q357" s="20" t="n"/>
      <c r="R357" s="20" t="n"/>
      <c r="S357" s="19">
        <f>IF(A357="","",IF(COUNTIF('Email Log'!B:B,A357)&gt;0,"YES","NO"))</f>
        <v/>
      </c>
    </row>
    <row r="358">
      <c r="A358" s="20" t="n"/>
      <c r="B358" s="20" t="n"/>
      <c r="C358" s="20" t="n"/>
      <c r="D358" s="20" t="n"/>
      <c r="E358" s="20" t="n"/>
      <c r="F358" s="21" t="n"/>
      <c r="G358" s="21" t="n"/>
      <c r="H358" s="20" t="n"/>
      <c r="I358" s="22" t="n"/>
      <c r="J358" s="19">
        <f>IF(OR(F358="",G358=""),"",MAX(0,G358-F358))</f>
        <v/>
      </c>
      <c r="K358" s="23">
        <f>IF(OR(I358="",J358=""),"",I358*J358)</f>
        <v/>
      </c>
      <c r="L358" s="22" t="n"/>
      <c r="M358" s="23">
        <f>IF(K358="","",MAX(0,K358-IF(L358="",0,L358)))</f>
        <v/>
      </c>
      <c r="N358" s="20" t="n"/>
      <c r="O358" s="20" t="n"/>
      <c r="P358" s="20" t="n"/>
      <c r="Q358" s="20" t="n"/>
      <c r="R358" s="20" t="n"/>
      <c r="S358" s="19">
        <f>IF(A358="","",IF(COUNTIF('Email Log'!B:B,A358)&gt;0,"YES","NO"))</f>
        <v/>
      </c>
    </row>
    <row r="359">
      <c r="A359" s="20" t="n"/>
      <c r="B359" s="20" t="n"/>
      <c r="C359" s="20" t="n"/>
      <c r="D359" s="20" t="n"/>
      <c r="E359" s="20" t="n"/>
      <c r="F359" s="21" t="n"/>
      <c r="G359" s="21" t="n"/>
      <c r="H359" s="20" t="n"/>
      <c r="I359" s="22" t="n"/>
      <c r="J359" s="19">
        <f>IF(OR(F359="",G359=""),"",MAX(0,G359-F359))</f>
        <v/>
      </c>
      <c r="K359" s="23">
        <f>IF(OR(I359="",J359=""),"",I359*J359)</f>
        <v/>
      </c>
      <c r="L359" s="22" t="n"/>
      <c r="M359" s="23">
        <f>IF(K359="","",MAX(0,K359-IF(L359="",0,L359)))</f>
        <v/>
      </c>
      <c r="N359" s="20" t="n"/>
      <c r="O359" s="20" t="n"/>
      <c r="P359" s="20" t="n"/>
      <c r="Q359" s="20" t="n"/>
      <c r="R359" s="20" t="n"/>
      <c r="S359" s="19">
        <f>IF(A359="","",IF(COUNTIF('Email Log'!B:B,A359)&gt;0,"YES","NO"))</f>
        <v/>
      </c>
    </row>
    <row r="360">
      <c r="A360" s="20" t="n"/>
      <c r="B360" s="20" t="n"/>
      <c r="C360" s="20" t="n"/>
      <c r="D360" s="20" t="n"/>
      <c r="E360" s="20" t="n"/>
      <c r="F360" s="21" t="n"/>
      <c r="G360" s="21" t="n"/>
      <c r="H360" s="20" t="n"/>
      <c r="I360" s="22" t="n"/>
      <c r="J360" s="19">
        <f>IF(OR(F360="",G360=""),"",MAX(0,G360-F360))</f>
        <v/>
      </c>
      <c r="K360" s="23">
        <f>IF(OR(I360="",J360=""),"",I360*J360)</f>
        <v/>
      </c>
      <c r="L360" s="22" t="n"/>
      <c r="M360" s="23">
        <f>IF(K360="","",MAX(0,K360-IF(L360="",0,L360)))</f>
        <v/>
      </c>
      <c r="N360" s="20" t="n"/>
      <c r="O360" s="20" t="n"/>
      <c r="P360" s="20" t="n"/>
      <c r="Q360" s="20" t="n"/>
      <c r="R360" s="20" t="n"/>
      <c r="S360" s="19">
        <f>IF(A360="","",IF(COUNTIF('Email Log'!B:B,A360)&gt;0,"YES","NO"))</f>
        <v/>
      </c>
    </row>
    <row r="361">
      <c r="A361" s="20" t="n"/>
      <c r="B361" s="20" t="n"/>
      <c r="C361" s="20" t="n"/>
      <c r="D361" s="20" t="n"/>
      <c r="E361" s="20" t="n"/>
      <c r="F361" s="21" t="n"/>
      <c r="G361" s="21" t="n"/>
      <c r="H361" s="20" t="n"/>
      <c r="I361" s="22" t="n"/>
      <c r="J361" s="19">
        <f>IF(OR(F361="",G361=""),"",MAX(0,G361-F361))</f>
        <v/>
      </c>
      <c r="K361" s="23">
        <f>IF(OR(I361="",J361=""),"",I361*J361)</f>
        <v/>
      </c>
      <c r="L361" s="22" t="n"/>
      <c r="M361" s="23">
        <f>IF(K361="","",MAX(0,K361-IF(L361="",0,L361)))</f>
        <v/>
      </c>
      <c r="N361" s="20" t="n"/>
      <c r="O361" s="20" t="n"/>
      <c r="P361" s="20" t="n"/>
      <c r="Q361" s="20" t="n"/>
      <c r="R361" s="20" t="n"/>
      <c r="S361" s="19">
        <f>IF(A361="","",IF(COUNTIF('Email Log'!B:B,A361)&gt;0,"YES","NO"))</f>
        <v/>
      </c>
    </row>
    <row r="362">
      <c r="A362" s="20" t="n"/>
      <c r="B362" s="20" t="n"/>
      <c r="C362" s="20" t="n"/>
      <c r="D362" s="20" t="n"/>
      <c r="E362" s="20" t="n"/>
      <c r="F362" s="21" t="n"/>
      <c r="G362" s="21" t="n"/>
      <c r="H362" s="20" t="n"/>
      <c r="I362" s="22" t="n"/>
      <c r="J362" s="19">
        <f>IF(OR(F362="",G362=""),"",MAX(0,G362-F362))</f>
        <v/>
      </c>
      <c r="K362" s="23">
        <f>IF(OR(I362="",J362=""),"",I362*J362)</f>
        <v/>
      </c>
      <c r="L362" s="22" t="n"/>
      <c r="M362" s="23">
        <f>IF(K362="","",MAX(0,K362-IF(L362="",0,L362)))</f>
        <v/>
      </c>
      <c r="N362" s="20" t="n"/>
      <c r="O362" s="20" t="n"/>
      <c r="P362" s="20" t="n"/>
      <c r="Q362" s="20" t="n"/>
      <c r="R362" s="20" t="n"/>
      <c r="S362" s="19">
        <f>IF(A362="","",IF(COUNTIF('Email Log'!B:B,A362)&gt;0,"YES","NO"))</f>
        <v/>
      </c>
    </row>
    <row r="363">
      <c r="A363" s="20" t="n"/>
      <c r="B363" s="20" t="n"/>
      <c r="C363" s="20" t="n"/>
      <c r="D363" s="20" t="n"/>
      <c r="E363" s="20" t="n"/>
      <c r="F363" s="21" t="n"/>
      <c r="G363" s="21" t="n"/>
      <c r="H363" s="20" t="n"/>
      <c r="I363" s="22" t="n"/>
      <c r="J363" s="19">
        <f>IF(OR(F363="",G363=""),"",MAX(0,G363-F363))</f>
        <v/>
      </c>
      <c r="K363" s="23">
        <f>IF(OR(I363="",J363=""),"",I363*J363)</f>
        <v/>
      </c>
      <c r="L363" s="22" t="n"/>
      <c r="M363" s="23">
        <f>IF(K363="","",MAX(0,K363-IF(L363="",0,L363)))</f>
        <v/>
      </c>
      <c r="N363" s="20" t="n"/>
      <c r="O363" s="20" t="n"/>
      <c r="P363" s="20" t="n"/>
      <c r="Q363" s="20" t="n"/>
      <c r="R363" s="20" t="n"/>
      <c r="S363" s="19">
        <f>IF(A363="","",IF(COUNTIF('Email Log'!B:B,A363)&gt;0,"YES","NO"))</f>
        <v/>
      </c>
    </row>
    <row r="364">
      <c r="A364" s="20" t="n"/>
      <c r="B364" s="20" t="n"/>
      <c r="C364" s="20" t="n"/>
      <c r="D364" s="20" t="n"/>
      <c r="E364" s="20" t="n"/>
      <c r="F364" s="21" t="n"/>
      <c r="G364" s="21" t="n"/>
      <c r="H364" s="20" t="n"/>
      <c r="I364" s="22" t="n"/>
      <c r="J364" s="19">
        <f>IF(OR(F364="",G364=""),"",MAX(0,G364-F364))</f>
        <v/>
      </c>
      <c r="K364" s="23">
        <f>IF(OR(I364="",J364=""),"",I364*J364)</f>
        <v/>
      </c>
      <c r="L364" s="22" t="n"/>
      <c r="M364" s="23">
        <f>IF(K364="","",MAX(0,K364-IF(L364="",0,L364)))</f>
        <v/>
      </c>
      <c r="N364" s="20" t="n"/>
      <c r="O364" s="20" t="n"/>
      <c r="P364" s="20" t="n"/>
      <c r="Q364" s="20" t="n"/>
      <c r="R364" s="20" t="n"/>
      <c r="S364" s="19">
        <f>IF(A364="","",IF(COUNTIF('Email Log'!B:B,A364)&gt;0,"YES","NO"))</f>
        <v/>
      </c>
    </row>
    <row r="365">
      <c r="A365" s="20" t="n"/>
      <c r="B365" s="20" t="n"/>
      <c r="C365" s="20" t="n"/>
      <c r="D365" s="20" t="n"/>
      <c r="E365" s="20" t="n"/>
      <c r="F365" s="21" t="n"/>
      <c r="G365" s="21" t="n"/>
      <c r="H365" s="20" t="n"/>
      <c r="I365" s="22" t="n"/>
      <c r="J365" s="19">
        <f>IF(OR(F365="",G365=""),"",MAX(0,G365-F365))</f>
        <v/>
      </c>
      <c r="K365" s="23">
        <f>IF(OR(I365="",J365=""),"",I365*J365)</f>
        <v/>
      </c>
      <c r="L365" s="22" t="n"/>
      <c r="M365" s="23">
        <f>IF(K365="","",MAX(0,K365-IF(L365="",0,L365)))</f>
        <v/>
      </c>
      <c r="N365" s="20" t="n"/>
      <c r="O365" s="20" t="n"/>
      <c r="P365" s="20" t="n"/>
      <c r="Q365" s="20" t="n"/>
      <c r="R365" s="20" t="n"/>
      <c r="S365" s="19">
        <f>IF(A365="","",IF(COUNTIF('Email Log'!B:B,A365)&gt;0,"YES","NO"))</f>
        <v/>
      </c>
    </row>
    <row r="366">
      <c r="A366" s="20" t="n"/>
      <c r="B366" s="20" t="n"/>
      <c r="C366" s="20" t="n"/>
      <c r="D366" s="20" t="n"/>
      <c r="E366" s="20" t="n"/>
      <c r="F366" s="21" t="n"/>
      <c r="G366" s="21" t="n"/>
      <c r="H366" s="20" t="n"/>
      <c r="I366" s="22" t="n"/>
      <c r="J366" s="19">
        <f>IF(OR(F366="",G366=""),"",MAX(0,G366-F366))</f>
        <v/>
      </c>
      <c r="K366" s="23">
        <f>IF(OR(I366="",J366=""),"",I366*J366)</f>
        <v/>
      </c>
      <c r="L366" s="22" t="n"/>
      <c r="M366" s="23">
        <f>IF(K366="","",MAX(0,K366-IF(L366="",0,L366)))</f>
        <v/>
      </c>
      <c r="N366" s="20" t="n"/>
      <c r="O366" s="20" t="n"/>
      <c r="P366" s="20" t="n"/>
      <c r="Q366" s="20" t="n"/>
      <c r="R366" s="20" t="n"/>
      <c r="S366" s="19">
        <f>IF(A366="","",IF(COUNTIF('Email Log'!B:B,A366)&gt;0,"YES","NO"))</f>
        <v/>
      </c>
    </row>
    <row r="367">
      <c r="A367" s="20" t="n"/>
      <c r="B367" s="20" t="n"/>
      <c r="C367" s="20" t="n"/>
      <c r="D367" s="20" t="n"/>
      <c r="E367" s="20" t="n"/>
      <c r="F367" s="21" t="n"/>
      <c r="G367" s="21" t="n"/>
      <c r="H367" s="20" t="n"/>
      <c r="I367" s="22" t="n"/>
      <c r="J367" s="19">
        <f>IF(OR(F367="",G367=""),"",MAX(0,G367-F367))</f>
        <v/>
      </c>
      <c r="K367" s="23">
        <f>IF(OR(I367="",J367=""),"",I367*J367)</f>
        <v/>
      </c>
      <c r="L367" s="22" t="n"/>
      <c r="M367" s="23">
        <f>IF(K367="","",MAX(0,K367-IF(L367="",0,L367)))</f>
        <v/>
      </c>
      <c r="N367" s="20" t="n"/>
      <c r="O367" s="20" t="n"/>
      <c r="P367" s="20" t="n"/>
      <c r="Q367" s="20" t="n"/>
      <c r="R367" s="20" t="n"/>
      <c r="S367" s="19">
        <f>IF(A367="","",IF(COUNTIF('Email Log'!B:B,A367)&gt;0,"YES","NO"))</f>
        <v/>
      </c>
    </row>
    <row r="368">
      <c r="A368" s="20" t="n"/>
      <c r="B368" s="20" t="n"/>
      <c r="C368" s="20" t="n"/>
      <c r="D368" s="20" t="n"/>
      <c r="E368" s="20" t="n"/>
      <c r="F368" s="21" t="n"/>
      <c r="G368" s="21" t="n"/>
      <c r="H368" s="20" t="n"/>
      <c r="I368" s="22" t="n"/>
      <c r="J368" s="19">
        <f>IF(OR(F368="",G368=""),"",MAX(0,G368-F368))</f>
        <v/>
      </c>
      <c r="K368" s="23">
        <f>IF(OR(I368="",J368=""),"",I368*J368)</f>
        <v/>
      </c>
      <c r="L368" s="22" t="n"/>
      <c r="M368" s="23">
        <f>IF(K368="","",MAX(0,K368-IF(L368="",0,L368)))</f>
        <v/>
      </c>
      <c r="N368" s="20" t="n"/>
      <c r="O368" s="20" t="n"/>
      <c r="P368" s="20" t="n"/>
      <c r="Q368" s="20" t="n"/>
      <c r="R368" s="20" t="n"/>
      <c r="S368" s="19">
        <f>IF(A368="","",IF(COUNTIF('Email Log'!B:B,A368)&gt;0,"YES","NO"))</f>
        <v/>
      </c>
    </row>
    <row r="369">
      <c r="A369" s="20" t="n"/>
      <c r="B369" s="20" t="n"/>
      <c r="C369" s="20" t="n"/>
      <c r="D369" s="20" t="n"/>
      <c r="E369" s="20" t="n"/>
      <c r="F369" s="21" t="n"/>
      <c r="G369" s="21" t="n"/>
      <c r="H369" s="20" t="n"/>
      <c r="I369" s="22" t="n"/>
      <c r="J369" s="19">
        <f>IF(OR(F369="",G369=""),"",MAX(0,G369-F369))</f>
        <v/>
      </c>
      <c r="K369" s="23">
        <f>IF(OR(I369="",J369=""),"",I369*J369)</f>
        <v/>
      </c>
      <c r="L369" s="22" t="n"/>
      <c r="M369" s="23">
        <f>IF(K369="","",MAX(0,K369-IF(L369="",0,L369)))</f>
        <v/>
      </c>
      <c r="N369" s="20" t="n"/>
      <c r="O369" s="20" t="n"/>
      <c r="P369" s="20" t="n"/>
      <c r="Q369" s="20" t="n"/>
      <c r="R369" s="20" t="n"/>
      <c r="S369" s="19">
        <f>IF(A369="","",IF(COUNTIF('Email Log'!B:B,A369)&gt;0,"YES","NO"))</f>
        <v/>
      </c>
    </row>
    <row r="370">
      <c r="A370" s="20" t="n"/>
      <c r="B370" s="20" t="n"/>
      <c r="C370" s="20" t="n"/>
      <c r="D370" s="20" t="n"/>
      <c r="E370" s="20" t="n"/>
      <c r="F370" s="21" t="n"/>
      <c r="G370" s="21" t="n"/>
      <c r="H370" s="20" t="n"/>
      <c r="I370" s="22" t="n"/>
      <c r="J370" s="19">
        <f>IF(OR(F370="",G370=""),"",MAX(0,G370-F370))</f>
        <v/>
      </c>
      <c r="K370" s="23">
        <f>IF(OR(I370="",J370=""),"",I370*J370)</f>
        <v/>
      </c>
      <c r="L370" s="22" t="n"/>
      <c r="M370" s="23">
        <f>IF(K370="","",MAX(0,K370-IF(L370="",0,L370)))</f>
        <v/>
      </c>
      <c r="N370" s="20" t="n"/>
      <c r="O370" s="20" t="n"/>
      <c r="P370" s="20" t="n"/>
      <c r="Q370" s="20" t="n"/>
      <c r="R370" s="20" t="n"/>
      <c r="S370" s="19">
        <f>IF(A370="","",IF(COUNTIF('Email Log'!B:B,A370)&gt;0,"YES","NO"))</f>
        <v/>
      </c>
    </row>
    <row r="371">
      <c r="A371" s="20" t="n"/>
      <c r="B371" s="20" t="n"/>
      <c r="C371" s="20" t="n"/>
      <c r="D371" s="20" t="n"/>
      <c r="E371" s="20" t="n"/>
      <c r="F371" s="21" t="n"/>
      <c r="G371" s="21" t="n"/>
      <c r="H371" s="20" t="n"/>
      <c r="I371" s="22" t="n"/>
      <c r="J371" s="19">
        <f>IF(OR(F371="",G371=""),"",MAX(0,G371-F371))</f>
        <v/>
      </c>
      <c r="K371" s="23">
        <f>IF(OR(I371="",J371=""),"",I371*J371)</f>
        <v/>
      </c>
      <c r="L371" s="22" t="n"/>
      <c r="M371" s="23">
        <f>IF(K371="","",MAX(0,K371-IF(L371="",0,L371)))</f>
        <v/>
      </c>
      <c r="N371" s="20" t="n"/>
      <c r="O371" s="20" t="n"/>
      <c r="P371" s="20" t="n"/>
      <c r="Q371" s="20" t="n"/>
      <c r="R371" s="20" t="n"/>
      <c r="S371" s="19">
        <f>IF(A371="","",IF(COUNTIF('Email Log'!B:B,A371)&gt;0,"YES","NO"))</f>
        <v/>
      </c>
    </row>
    <row r="372">
      <c r="A372" s="20" t="n"/>
      <c r="B372" s="20" t="n"/>
      <c r="C372" s="20" t="n"/>
      <c r="D372" s="20" t="n"/>
      <c r="E372" s="20" t="n"/>
      <c r="F372" s="21" t="n"/>
      <c r="G372" s="21" t="n"/>
      <c r="H372" s="20" t="n"/>
      <c r="I372" s="22" t="n"/>
      <c r="J372" s="19">
        <f>IF(OR(F372="",G372=""),"",MAX(0,G372-F372))</f>
        <v/>
      </c>
      <c r="K372" s="23">
        <f>IF(OR(I372="",J372=""),"",I372*J372)</f>
        <v/>
      </c>
      <c r="L372" s="22" t="n"/>
      <c r="M372" s="23">
        <f>IF(K372="","",MAX(0,K372-IF(L372="",0,L372)))</f>
        <v/>
      </c>
      <c r="N372" s="20" t="n"/>
      <c r="O372" s="20" t="n"/>
      <c r="P372" s="20" t="n"/>
      <c r="Q372" s="20" t="n"/>
      <c r="R372" s="20" t="n"/>
      <c r="S372" s="19">
        <f>IF(A372="","",IF(COUNTIF('Email Log'!B:B,A372)&gt;0,"YES","NO"))</f>
        <v/>
      </c>
    </row>
    <row r="373">
      <c r="A373" s="20" t="n"/>
      <c r="B373" s="20" t="n"/>
      <c r="C373" s="20" t="n"/>
      <c r="D373" s="20" t="n"/>
      <c r="E373" s="20" t="n"/>
      <c r="F373" s="21" t="n"/>
      <c r="G373" s="21" t="n"/>
      <c r="H373" s="20" t="n"/>
      <c r="I373" s="22" t="n"/>
      <c r="J373" s="19">
        <f>IF(OR(F373="",G373=""),"",MAX(0,G373-F373))</f>
        <v/>
      </c>
      <c r="K373" s="23">
        <f>IF(OR(I373="",J373=""),"",I373*J373)</f>
        <v/>
      </c>
      <c r="L373" s="22" t="n"/>
      <c r="M373" s="23">
        <f>IF(K373="","",MAX(0,K373-IF(L373="",0,L373)))</f>
        <v/>
      </c>
      <c r="N373" s="20" t="n"/>
      <c r="O373" s="20" t="n"/>
      <c r="P373" s="20" t="n"/>
      <c r="Q373" s="20" t="n"/>
      <c r="R373" s="20" t="n"/>
      <c r="S373" s="19">
        <f>IF(A373="","",IF(COUNTIF('Email Log'!B:B,A373)&gt;0,"YES","NO"))</f>
        <v/>
      </c>
    </row>
    <row r="374">
      <c r="A374" s="20" t="n"/>
      <c r="B374" s="20" t="n"/>
      <c r="C374" s="20" t="n"/>
      <c r="D374" s="20" t="n"/>
      <c r="E374" s="20" t="n"/>
      <c r="F374" s="21" t="n"/>
      <c r="G374" s="21" t="n"/>
      <c r="H374" s="20" t="n"/>
      <c r="I374" s="22" t="n"/>
      <c r="J374" s="19">
        <f>IF(OR(F374="",G374=""),"",MAX(0,G374-F374))</f>
        <v/>
      </c>
      <c r="K374" s="23">
        <f>IF(OR(I374="",J374=""),"",I374*J374)</f>
        <v/>
      </c>
      <c r="L374" s="22" t="n"/>
      <c r="M374" s="23">
        <f>IF(K374="","",MAX(0,K374-IF(L374="",0,L374)))</f>
        <v/>
      </c>
      <c r="N374" s="20" t="n"/>
      <c r="O374" s="20" t="n"/>
      <c r="P374" s="20" t="n"/>
      <c r="Q374" s="20" t="n"/>
      <c r="R374" s="20" t="n"/>
      <c r="S374" s="19">
        <f>IF(A374="","",IF(COUNTIF('Email Log'!B:B,A374)&gt;0,"YES","NO"))</f>
        <v/>
      </c>
    </row>
    <row r="375">
      <c r="A375" s="20" t="n"/>
      <c r="B375" s="20" t="n"/>
      <c r="C375" s="20" t="n"/>
      <c r="D375" s="20" t="n"/>
      <c r="E375" s="20" t="n"/>
      <c r="F375" s="21" t="n"/>
      <c r="G375" s="21" t="n"/>
      <c r="H375" s="20" t="n"/>
      <c r="I375" s="22" t="n"/>
      <c r="J375" s="19">
        <f>IF(OR(F375="",G375=""),"",MAX(0,G375-F375))</f>
        <v/>
      </c>
      <c r="K375" s="23">
        <f>IF(OR(I375="",J375=""),"",I375*J375)</f>
        <v/>
      </c>
      <c r="L375" s="22" t="n"/>
      <c r="M375" s="23">
        <f>IF(K375="","",MAX(0,K375-IF(L375="",0,L375)))</f>
        <v/>
      </c>
      <c r="N375" s="20" t="n"/>
      <c r="O375" s="20" t="n"/>
      <c r="P375" s="20" t="n"/>
      <c r="Q375" s="20" t="n"/>
      <c r="R375" s="20" t="n"/>
      <c r="S375" s="19">
        <f>IF(A375="","",IF(COUNTIF('Email Log'!B:B,A375)&gt;0,"YES","NO"))</f>
        <v/>
      </c>
    </row>
    <row r="376">
      <c r="A376" s="20" t="n"/>
      <c r="B376" s="20" t="n"/>
      <c r="C376" s="20" t="n"/>
      <c r="D376" s="20" t="n"/>
      <c r="E376" s="20" t="n"/>
      <c r="F376" s="21" t="n"/>
      <c r="G376" s="21" t="n"/>
      <c r="H376" s="20" t="n"/>
      <c r="I376" s="22" t="n"/>
      <c r="J376" s="19">
        <f>IF(OR(F376="",G376=""),"",MAX(0,G376-F376))</f>
        <v/>
      </c>
      <c r="K376" s="23">
        <f>IF(OR(I376="",J376=""),"",I376*J376)</f>
        <v/>
      </c>
      <c r="L376" s="22" t="n"/>
      <c r="M376" s="23">
        <f>IF(K376="","",MAX(0,K376-IF(L376="",0,L376)))</f>
        <v/>
      </c>
      <c r="N376" s="20" t="n"/>
      <c r="O376" s="20" t="n"/>
      <c r="P376" s="20" t="n"/>
      <c r="Q376" s="20" t="n"/>
      <c r="R376" s="20" t="n"/>
      <c r="S376" s="19">
        <f>IF(A376="","",IF(COUNTIF('Email Log'!B:B,A376)&gt;0,"YES","NO"))</f>
        <v/>
      </c>
    </row>
    <row r="377">
      <c r="A377" s="20" t="n"/>
      <c r="B377" s="20" t="n"/>
      <c r="C377" s="20" t="n"/>
      <c r="D377" s="20" t="n"/>
      <c r="E377" s="20" t="n"/>
      <c r="F377" s="21" t="n"/>
      <c r="G377" s="21" t="n"/>
      <c r="H377" s="20" t="n"/>
      <c r="I377" s="22" t="n"/>
      <c r="J377" s="19">
        <f>IF(OR(F377="",G377=""),"",MAX(0,G377-F377))</f>
        <v/>
      </c>
      <c r="K377" s="23">
        <f>IF(OR(I377="",J377=""),"",I377*J377)</f>
        <v/>
      </c>
      <c r="L377" s="22" t="n"/>
      <c r="M377" s="23">
        <f>IF(K377="","",MAX(0,K377-IF(L377="",0,L377)))</f>
        <v/>
      </c>
      <c r="N377" s="20" t="n"/>
      <c r="O377" s="20" t="n"/>
      <c r="P377" s="20" t="n"/>
      <c r="Q377" s="20" t="n"/>
      <c r="R377" s="20" t="n"/>
      <c r="S377" s="19">
        <f>IF(A377="","",IF(COUNTIF('Email Log'!B:B,A377)&gt;0,"YES","NO"))</f>
        <v/>
      </c>
    </row>
    <row r="378">
      <c r="A378" s="20" t="n"/>
      <c r="B378" s="20" t="n"/>
      <c r="C378" s="20" t="n"/>
      <c r="D378" s="20" t="n"/>
      <c r="E378" s="20" t="n"/>
      <c r="F378" s="21" t="n"/>
      <c r="G378" s="21" t="n"/>
      <c r="H378" s="20" t="n"/>
      <c r="I378" s="22" t="n"/>
      <c r="J378" s="19">
        <f>IF(OR(F378="",G378=""),"",MAX(0,G378-F378))</f>
        <v/>
      </c>
      <c r="K378" s="23">
        <f>IF(OR(I378="",J378=""),"",I378*J378)</f>
        <v/>
      </c>
      <c r="L378" s="22" t="n"/>
      <c r="M378" s="23">
        <f>IF(K378="","",MAX(0,K378-IF(L378="",0,L378)))</f>
        <v/>
      </c>
      <c r="N378" s="20" t="n"/>
      <c r="O378" s="20" t="n"/>
      <c r="P378" s="20" t="n"/>
      <c r="Q378" s="20" t="n"/>
      <c r="R378" s="20" t="n"/>
      <c r="S378" s="19">
        <f>IF(A378="","",IF(COUNTIF('Email Log'!B:B,A378)&gt;0,"YES","NO"))</f>
        <v/>
      </c>
    </row>
    <row r="379">
      <c r="A379" s="20" t="n"/>
      <c r="B379" s="20" t="n"/>
      <c r="C379" s="20" t="n"/>
      <c r="D379" s="20" t="n"/>
      <c r="E379" s="20" t="n"/>
      <c r="F379" s="21" t="n"/>
      <c r="G379" s="21" t="n"/>
      <c r="H379" s="20" t="n"/>
      <c r="I379" s="22" t="n"/>
      <c r="J379" s="19">
        <f>IF(OR(F379="",G379=""),"",MAX(0,G379-F379))</f>
        <v/>
      </c>
      <c r="K379" s="23">
        <f>IF(OR(I379="",J379=""),"",I379*J379)</f>
        <v/>
      </c>
      <c r="L379" s="22" t="n"/>
      <c r="M379" s="23">
        <f>IF(K379="","",MAX(0,K379-IF(L379="",0,L379)))</f>
        <v/>
      </c>
      <c r="N379" s="20" t="n"/>
      <c r="O379" s="20" t="n"/>
      <c r="P379" s="20" t="n"/>
      <c r="Q379" s="20" t="n"/>
      <c r="R379" s="20" t="n"/>
      <c r="S379" s="19">
        <f>IF(A379="","",IF(COUNTIF('Email Log'!B:B,A379)&gt;0,"YES","NO"))</f>
        <v/>
      </c>
    </row>
    <row r="380">
      <c r="A380" s="20" t="n"/>
      <c r="B380" s="20" t="n"/>
      <c r="C380" s="20" t="n"/>
      <c r="D380" s="20" t="n"/>
      <c r="E380" s="20" t="n"/>
      <c r="F380" s="21" t="n"/>
      <c r="G380" s="21" t="n"/>
      <c r="H380" s="20" t="n"/>
      <c r="I380" s="22" t="n"/>
      <c r="J380" s="19">
        <f>IF(OR(F380="",G380=""),"",MAX(0,G380-F380))</f>
        <v/>
      </c>
      <c r="K380" s="23">
        <f>IF(OR(I380="",J380=""),"",I380*J380)</f>
        <v/>
      </c>
      <c r="L380" s="22" t="n"/>
      <c r="M380" s="23">
        <f>IF(K380="","",MAX(0,K380-IF(L380="",0,L380)))</f>
        <v/>
      </c>
      <c r="N380" s="20" t="n"/>
      <c r="O380" s="20" t="n"/>
      <c r="P380" s="20" t="n"/>
      <c r="Q380" s="20" t="n"/>
      <c r="R380" s="20" t="n"/>
      <c r="S380" s="19">
        <f>IF(A380="","",IF(COUNTIF('Email Log'!B:B,A380)&gt;0,"YES","NO"))</f>
        <v/>
      </c>
    </row>
    <row r="381">
      <c r="A381" s="20" t="n"/>
      <c r="B381" s="20" t="n"/>
      <c r="C381" s="20" t="n"/>
      <c r="D381" s="20" t="n"/>
      <c r="E381" s="20" t="n"/>
      <c r="F381" s="21" t="n"/>
      <c r="G381" s="21" t="n"/>
      <c r="H381" s="20" t="n"/>
      <c r="I381" s="22" t="n"/>
      <c r="J381" s="19">
        <f>IF(OR(F381="",G381=""),"",MAX(0,G381-F381))</f>
        <v/>
      </c>
      <c r="K381" s="23">
        <f>IF(OR(I381="",J381=""),"",I381*J381)</f>
        <v/>
      </c>
      <c r="L381" s="22" t="n"/>
      <c r="M381" s="23">
        <f>IF(K381="","",MAX(0,K381-IF(L381="",0,L381)))</f>
        <v/>
      </c>
      <c r="N381" s="20" t="n"/>
      <c r="O381" s="20" t="n"/>
      <c r="P381" s="20" t="n"/>
      <c r="Q381" s="20" t="n"/>
      <c r="R381" s="20" t="n"/>
      <c r="S381" s="19">
        <f>IF(A381="","",IF(COUNTIF('Email Log'!B:B,A381)&gt;0,"YES","NO"))</f>
        <v/>
      </c>
    </row>
    <row r="382">
      <c r="A382" s="20" t="n"/>
      <c r="B382" s="20" t="n"/>
      <c r="C382" s="20" t="n"/>
      <c r="D382" s="20" t="n"/>
      <c r="E382" s="20" t="n"/>
      <c r="F382" s="21" t="n"/>
      <c r="G382" s="21" t="n"/>
      <c r="H382" s="20" t="n"/>
      <c r="I382" s="22" t="n"/>
      <c r="J382" s="19">
        <f>IF(OR(F382="",G382=""),"",MAX(0,G382-F382))</f>
        <v/>
      </c>
      <c r="K382" s="23">
        <f>IF(OR(I382="",J382=""),"",I382*J382)</f>
        <v/>
      </c>
      <c r="L382" s="22" t="n"/>
      <c r="M382" s="23">
        <f>IF(K382="","",MAX(0,K382-IF(L382="",0,L382)))</f>
        <v/>
      </c>
      <c r="N382" s="20" t="n"/>
      <c r="O382" s="20" t="n"/>
      <c r="P382" s="20" t="n"/>
      <c r="Q382" s="20" t="n"/>
      <c r="R382" s="20" t="n"/>
      <c r="S382" s="19">
        <f>IF(A382="","",IF(COUNTIF('Email Log'!B:B,A382)&gt;0,"YES","NO"))</f>
        <v/>
      </c>
    </row>
    <row r="383">
      <c r="A383" s="20" t="n"/>
      <c r="B383" s="20" t="n"/>
      <c r="C383" s="20" t="n"/>
      <c r="D383" s="20" t="n"/>
      <c r="E383" s="20" t="n"/>
      <c r="F383" s="21" t="n"/>
      <c r="G383" s="21" t="n"/>
      <c r="H383" s="20" t="n"/>
      <c r="I383" s="22" t="n"/>
      <c r="J383" s="19">
        <f>IF(OR(F383="",G383=""),"",MAX(0,G383-F383))</f>
        <v/>
      </c>
      <c r="K383" s="23">
        <f>IF(OR(I383="",J383=""),"",I383*J383)</f>
        <v/>
      </c>
      <c r="L383" s="22" t="n"/>
      <c r="M383" s="23">
        <f>IF(K383="","",MAX(0,K383-IF(L383="",0,L383)))</f>
        <v/>
      </c>
      <c r="N383" s="20" t="n"/>
      <c r="O383" s="20" t="n"/>
      <c r="P383" s="20" t="n"/>
      <c r="Q383" s="20" t="n"/>
      <c r="R383" s="20" t="n"/>
      <c r="S383" s="19">
        <f>IF(A383="","",IF(COUNTIF('Email Log'!B:B,A383)&gt;0,"YES","NO"))</f>
        <v/>
      </c>
    </row>
    <row r="384">
      <c r="A384" s="20" t="n"/>
      <c r="B384" s="20" t="n"/>
      <c r="C384" s="20" t="n"/>
      <c r="D384" s="20" t="n"/>
      <c r="E384" s="20" t="n"/>
      <c r="F384" s="21" t="n"/>
      <c r="G384" s="21" t="n"/>
      <c r="H384" s="20" t="n"/>
      <c r="I384" s="22" t="n"/>
      <c r="J384" s="19">
        <f>IF(OR(F384="",G384=""),"",MAX(0,G384-F384))</f>
        <v/>
      </c>
      <c r="K384" s="23">
        <f>IF(OR(I384="",J384=""),"",I384*J384)</f>
        <v/>
      </c>
      <c r="L384" s="22" t="n"/>
      <c r="M384" s="23">
        <f>IF(K384="","",MAX(0,K384-IF(L384="",0,L384)))</f>
        <v/>
      </c>
      <c r="N384" s="20" t="n"/>
      <c r="O384" s="20" t="n"/>
      <c r="P384" s="20" t="n"/>
      <c r="Q384" s="20" t="n"/>
      <c r="R384" s="20" t="n"/>
      <c r="S384" s="19">
        <f>IF(A384="","",IF(COUNTIF('Email Log'!B:B,A384)&gt;0,"YES","NO"))</f>
        <v/>
      </c>
    </row>
    <row r="385">
      <c r="A385" s="20" t="n"/>
      <c r="B385" s="20" t="n"/>
      <c r="C385" s="20" t="n"/>
      <c r="D385" s="20" t="n"/>
      <c r="E385" s="20" t="n"/>
      <c r="F385" s="21" t="n"/>
      <c r="G385" s="21" t="n"/>
      <c r="H385" s="20" t="n"/>
      <c r="I385" s="22" t="n"/>
      <c r="J385" s="19">
        <f>IF(OR(F385="",G385=""),"",MAX(0,G385-F385))</f>
        <v/>
      </c>
      <c r="K385" s="23">
        <f>IF(OR(I385="",J385=""),"",I385*J385)</f>
        <v/>
      </c>
      <c r="L385" s="22" t="n"/>
      <c r="M385" s="23">
        <f>IF(K385="","",MAX(0,K385-IF(L385="",0,L385)))</f>
        <v/>
      </c>
      <c r="N385" s="20" t="n"/>
      <c r="O385" s="20" t="n"/>
      <c r="P385" s="20" t="n"/>
      <c r="Q385" s="20" t="n"/>
      <c r="R385" s="20" t="n"/>
      <c r="S385" s="19">
        <f>IF(A385="","",IF(COUNTIF('Email Log'!B:B,A385)&gt;0,"YES","NO"))</f>
        <v/>
      </c>
    </row>
    <row r="386">
      <c r="A386" s="20" t="n"/>
      <c r="B386" s="20" t="n"/>
      <c r="C386" s="20" t="n"/>
      <c r="D386" s="20" t="n"/>
      <c r="E386" s="20" t="n"/>
      <c r="F386" s="21" t="n"/>
      <c r="G386" s="21" t="n"/>
      <c r="H386" s="20" t="n"/>
      <c r="I386" s="22" t="n"/>
      <c r="J386" s="19">
        <f>IF(OR(F386="",G386=""),"",MAX(0,G386-F386))</f>
        <v/>
      </c>
      <c r="K386" s="23">
        <f>IF(OR(I386="",J386=""),"",I386*J386)</f>
        <v/>
      </c>
      <c r="L386" s="22" t="n"/>
      <c r="M386" s="23">
        <f>IF(K386="","",MAX(0,K386-IF(L386="",0,L386)))</f>
        <v/>
      </c>
      <c r="N386" s="20" t="n"/>
      <c r="O386" s="20" t="n"/>
      <c r="P386" s="20" t="n"/>
      <c r="Q386" s="20" t="n"/>
      <c r="R386" s="20" t="n"/>
      <c r="S386" s="19">
        <f>IF(A386="","",IF(COUNTIF('Email Log'!B:B,A386)&gt;0,"YES","NO"))</f>
        <v/>
      </c>
    </row>
    <row r="387">
      <c r="A387" s="20" t="n"/>
      <c r="B387" s="20" t="n"/>
      <c r="C387" s="20" t="n"/>
      <c r="D387" s="20" t="n"/>
      <c r="E387" s="20" t="n"/>
      <c r="F387" s="21" t="n"/>
      <c r="G387" s="21" t="n"/>
      <c r="H387" s="20" t="n"/>
      <c r="I387" s="22" t="n"/>
      <c r="J387" s="19">
        <f>IF(OR(F387="",G387=""),"",MAX(0,G387-F387))</f>
        <v/>
      </c>
      <c r="K387" s="23">
        <f>IF(OR(I387="",J387=""),"",I387*J387)</f>
        <v/>
      </c>
      <c r="L387" s="22" t="n"/>
      <c r="M387" s="23">
        <f>IF(K387="","",MAX(0,K387-IF(L387="",0,L387)))</f>
        <v/>
      </c>
      <c r="N387" s="20" t="n"/>
      <c r="O387" s="20" t="n"/>
      <c r="P387" s="20" t="n"/>
      <c r="Q387" s="20" t="n"/>
      <c r="R387" s="20" t="n"/>
      <c r="S387" s="19">
        <f>IF(A387="","",IF(COUNTIF('Email Log'!B:B,A387)&gt;0,"YES","NO"))</f>
        <v/>
      </c>
    </row>
    <row r="388">
      <c r="A388" s="20" t="n"/>
      <c r="B388" s="20" t="n"/>
      <c r="C388" s="20" t="n"/>
      <c r="D388" s="20" t="n"/>
      <c r="E388" s="20" t="n"/>
      <c r="F388" s="21" t="n"/>
      <c r="G388" s="21" t="n"/>
      <c r="H388" s="20" t="n"/>
      <c r="I388" s="22" t="n"/>
      <c r="J388" s="19">
        <f>IF(OR(F388="",G388=""),"",MAX(0,G388-F388))</f>
        <v/>
      </c>
      <c r="K388" s="23">
        <f>IF(OR(I388="",J388=""),"",I388*J388)</f>
        <v/>
      </c>
      <c r="L388" s="22" t="n"/>
      <c r="M388" s="23">
        <f>IF(K388="","",MAX(0,K388-IF(L388="",0,L388)))</f>
        <v/>
      </c>
      <c r="N388" s="20" t="n"/>
      <c r="O388" s="20" t="n"/>
      <c r="P388" s="20" t="n"/>
      <c r="Q388" s="20" t="n"/>
      <c r="R388" s="20" t="n"/>
      <c r="S388" s="19">
        <f>IF(A388="","",IF(COUNTIF('Email Log'!B:B,A388)&gt;0,"YES","NO"))</f>
        <v/>
      </c>
    </row>
    <row r="389">
      <c r="A389" s="20" t="n"/>
      <c r="B389" s="20" t="n"/>
      <c r="C389" s="20" t="n"/>
      <c r="D389" s="20" t="n"/>
      <c r="E389" s="20" t="n"/>
      <c r="F389" s="21" t="n"/>
      <c r="G389" s="21" t="n"/>
      <c r="H389" s="20" t="n"/>
      <c r="I389" s="22" t="n"/>
      <c r="J389" s="19">
        <f>IF(OR(F389="",G389=""),"",MAX(0,G389-F389))</f>
        <v/>
      </c>
      <c r="K389" s="23">
        <f>IF(OR(I389="",J389=""),"",I389*J389)</f>
        <v/>
      </c>
      <c r="L389" s="22" t="n"/>
      <c r="M389" s="23">
        <f>IF(K389="","",MAX(0,K389-IF(L389="",0,L389)))</f>
        <v/>
      </c>
      <c r="N389" s="20" t="n"/>
      <c r="O389" s="20" t="n"/>
      <c r="P389" s="20" t="n"/>
      <c r="Q389" s="20" t="n"/>
      <c r="R389" s="20" t="n"/>
      <c r="S389" s="19">
        <f>IF(A389="","",IF(COUNTIF('Email Log'!B:B,A389)&gt;0,"YES","NO"))</f>
        <v/>
      </c>
    </row>
    <row r="390">
      <c r="A390" s="20" t="n"/>
      <c r="B390" s="20" t="n"/>
      <c r="C390" s="20" t="n"/>
      <c r="D390" s="20" t="n"/>
      <c r="E390" s="20" t="n"/>
      <c r="F390" s="21" t="n"/>
      <c r="G390" s="21" t="n"/>
      <c r="H390" s="20" t="n"/>
      <c r="I390" s="22" t="n"/>
      <c r="J390" s="19">
        <f>IF(OR(F390="",G390=""),"",MAX(0,G390-F390))</f>
        <v/>
      </c>
      <c r="K390" s="23">
        <f>IF(OR(I390="",J390=""),"",I390*J390)</f>
        <v/>
      </c>
      <c r="L390" s="22" t="n"/>
      <c r="M390" s="23">
        <f>IF(K390="","",MAX(0,K390-IF(L390="",0,L390)))</f>
        <v/>
      </c>
      <c r="N390" s="20" t="n"/>
      <c r="O390" s="20" t="n"/>
      <c r="P390" s="20" t="n"/>
      <c r="Q390" s="20" t="n"/>
      <c r="R390" s="20" t="n"/>
      <c r="S390" s="19">
        <f>IF(A390="","",IF(COUNTIF('Email Log'!B:B,A390)&gt;0,"YES","NO"))</f>
        <v/>
      </c>
    </row>
    <row r="391">
      <c r="A391" s="20" t="n"/>
      <c r="B391" s="20" t="n"/>
      <c r="C391" s="20" t="n"/>
      <c r="D391" s="20" t="n"/>
      <c r="E391" s="20" t="n"/>
      <c r="F391" s="21" t="n"/>
      <c r="G391" s="21" t="n"/>
      <c r="H391" s="20" t="n"/>
      <c r="I391" s="22" t="n"/>
      <c r="J391" s="19">
        <f>IF(OR(F391="",G391=""),"",MAX(0,G391-F391))</f>
        <v/>
      </c>
      <c r="K391" s="23">
        <f>IF(OR(I391="",J391=""),"",I391*J391)</f>
        <v/>
      </c>
      <c r="L391" s="22" t="n"/>
      <c r="M391" s="23">
        <f>IF(K391="","",MAX(0,K391-IF(L391="",0,L391)))</f>
        <v/>
      </c>
      <c r="N391" s="20" t="n"/>
      <c r="O391" s="20" t="n"/>
      <c r="P391" s="20" t="n"/>
      <c r="Q391" s="20" t="n"/>
      <c r="R391" s="20" t="n"/>
      <c r="S391" s="19">
        <f>IF(A391="","",IF(COUNTIF('Email Log'!B:B,A391)&gt;0,"YES","NO"))</f>
        <v/>
      </c>
    </row>
    <row r="392">
      <c r="A392" s="20" t="n"/>
      <c r="B392" s="20" t="n"/>
      <c r="C392" s="20" t="n"/>
      <c r="D392" s="20" t="n"/>
      <c r="E392" s="20" t="n"/>
      <c r="F392" s="21" t="n"/>
      <c r="G392" s="21" t="n"/>
      <c r="H392" s="20" t="n"/>
      <c r="I392" s="22" t="n"/>
      <c r="J392" s="19">
        <f>IF(OR(F392="",G392=""),"",MAX(0,G392-F392))</f>
        <v/>
      </c>
      <c r="K392" s="23">
        <f>IF(OR(I392="",J392=""),"",I392*J392)</f>
        <v/>
      </c>
      <c r="L392" s="22" t="n"/>
      <c r="M392" s="23">
        <f>IF(K392="","",MAX(0,K392-IF(L392="",0,L392)))</f>
        <v/>
      </c>
      <c r="N392" s="20" t="n"/>
      <c r="O392" s="20" t="n"/>
      <c r="P392" s="20" t="n"/>
      <c r="Q392" s="20" t="n"/>
      <c r="R392" s="20" t="n"/>
      <c r="S392" s="19">
        <f>IF(A392="","",IF(COUNTIF('Email Log'!B:B,A392)&gt;0,"YES","NO"))</f>
        <v/>
      </c>
    </row>
    <row r="393">
      <c r="A393" s="20" t="n"/>
      <c r="B393" s="20" t="n"/>
      <c r="C393" s="20" t="n"/>
      <c r="D393" s="20" t="n"/>
      <c r="E393" s="20" t="n"/>
      <c r="F393" s="21" t="n"/>
      <c r="G393" s="21" t="n"/>
      <c r="H393" s="20" t="n"/>
      <c r="I393" s="22" t="n"/>
      <c r="J393" s="19">
        <f>IF(OR(F393="",G393=""),"",MAX(0,G393-F393))</f>
        <v/>
      </c>
      <c r="K393" s="23">
        <f>IF(OR(I393="",J393=""),"",I393*J393)</f>
        <v/>
      </c>
      <c r="L393" s="22" t="n"/>
      <c r="M393" s="23">
        <f>IF(K393="","",MAX(0,K393-IF(L393="",0,L393)))</f>
        <v/>
      </c>
      <c r="N393" s="20" t="n"/>
      <c r="O393" s="20" t="n"/>
      <c r="P393" s="20" t="n"/>
      <c r="Q393" s="20" t="n"/>
      <c r="R393" s="20" t="n"/>
      <c r="S393" s="19">
        <f>IF(A393="","",IF(COUNTIF('Email Log'!B:B,A393)&gt;0,"YES","NO"))</f>
        <v/>
      </c>
    </row>
    <row r="394">
      <c r="A394" s="20" t="n"/>
      <c r="B394" s="20" t="n"/>
      <c r="C394" s="20" t="n"/>
      <c r="D394" s="20" t="n"/>
      <c r="E394" s="20" t="n"/>
      <c r="F394" s="21" t="n"/>
      <c r="G394" s="21" t="n"/>
      <c r="H394" s="20" t="n"/>
      <c r="I394" s="22" t="n"/>
      <c r="J394" s="19">
        <f>IF(OR(F394="",G394=""),"",MAX(0,G394-F394))</f>
        <v/>
      </c>
      <c r="K394" s="23">
        <f>IF(OR(I394="",J394=""),"",I394*J394)</f>
        <v/>
      </c>
      <c r="L394" s="22" t="n"/>
      <c r="M394" s="23">
        <f>IF(K394="","",MAX(0,K394-IF(L394="",0,L394)))</f>
        <v/>
      </c>
      <c r="N394" s="20" t="n"/>
      <c r="O394" s="20" t="n"/>
      <c r="P394" s="20" t="n"/>
      <c r="Q394" s="20" t="n"/>
      <c r="R394" s="20" t="n"/>
      <c r="S394" s="19">
        <f>IF(A394="","",IF(COUNTIF('Email Log'!B:B,A394)&gt;0,"YES","NO"))</f>
        <v/>
      </c>
    </row>
    <row r="395">
      <c r="A395" s="20" t="n"/>
      <c r="B395" s="20" t="n"/>
      <c r="C395" s="20" t="n"/>
      <c r="D395" s="20" t="n"/>
      <c r="E395" s="20" t="n"/>
      <c r="F395" s="21" t="n"/>
      <c r="G395" s="21" t="n"/>
      <c r="H395" s="20" t="n"/>
      <c r="I395" s="22" t="n"/>
      <c r="J395" s="19">
        <f>IF(OR(F395="",G395=""),"",MAX(0,G395-F395))</f>
        <v/>
      </c>
      <c r="K395" s="23">
        <f>IF(OR(I395="",J395=""),"",I395*J395)</f>
        <v/>
      </c>
      <c r="L395" s="22" t="n"/>
      <c r="M395" s="23">
        <f>IF(K395="","",MAX(0,K395-IF(L395="",0,L395)))</f>
        <v/>
      </c>
      <c r="N395" s="20" t="n"/>
      <c r="O395" s="20" t="n"/>
      <c r="P395" s="20" t="n"/>
      <c r="Q395" s="20" t="n"/>
      <c r="R395" s="20" t="n"/>
      <c r="S395" s="19">
        <f>IF(A395="","",IF(COUNTIF('Email Log'!B:B,A395)&gt;0,"YES","NO"))</f>
        <v/>
      </c>
    </row>
    <row r="396">
      <c r="A396" s="20" t="n"/>
      <c r="B396" s="20" t="n"/>
      <c r="C396" s="20" t="n"/>
      <c r="D396" s="20" t="n"/>
      <c r="E396" s="20" t="n"/>
      <c r="F396" s="21" t="n"/>
      <c r="G396" s="21" t="n"/>
      <c r="H396" s="20" t="n"/>
      <c r="I396" s="22" t="n"/>
      <c r="J396" s="19">
        <f>IF(OR(F396="",G396=""),"",MAX(0,G396-F396))</f>
        <v/>
      </c>
      <c r="K396" s="23">
        <f>IF(OR(I396="",J396=""),"",I396*J396)</f>
        <v/>
      </c>
      <c r="L396" s="22" t="n"/>
      <c r="M396" s="23">
        <f>IF(K396="","",MAX(0,K396-IF(L396="",0,L396)))</f>
        <v/>
      </c>
      <c r="N396" s="20" t="n"/>
      <c r="O396" s="20" t="n"/>
      <c r="P396" s="20" t="n"/>
      <c r="Q396" s="20" t="n"/>
      <c r="R396" s="20" t="n"/>
      <c r="S396" s="19">
        <f>IF(A396="","",IF(COUNTIF('Email Log'!B:B,A396)&gt;0,"YES","NO"))</f>
        <v/>
      </c>
    </row>
    <row r="397">
      <c r="A397" s="20" t="n"/>
      <c r="B397" s="20" t="n"/>
      <c r="C397" s="20" t="n"/>
      <c r="D397" s="20" t="n"/>
      <c r="E397" s="20" t="n"/>
      <c r="F397" s="21" t="n"/>
      <c r="G397" s="21" t="n"/>
      <c r="H397" s="20" t="n"/>
      <c r="I397" s="22" t="n"/>
      <c r="J397" s="19">
        <f>IF(OR(F397="",G397=""),"",MAX(0,G397-F397))</f>
        <v/>
      </c>
      <c r="K397" s="23">
        <f>IF(OR(I397="",J397=""),"",I397*J397)</f>
        <v/>
      </c>
      <c r="L397" s="22" t="n"/>
      <c r="M397" s="23">
        <f>IF(K397="","",MAX(0,K397-IF(L397="",0,L397)))</f>
        <v/>
      </c>
      <c r="N397" s="20" t="n"/>
      <c r="O397" s="20" t="n"/>
      <c r="P397" s="20" t="n"/>
      <c r="Q397" s="20" t="n"/>
      <c r="R397" s="20" t="n"/>
      <c r="S397" s="19">
        <f>IF(A397="","",IF(COUNTIF('Email Log'!B:B,A397)&gt;0,"YES","NO"))</f>
        <v/>
      </c>
    </row>
    <row r="398">
      <c r="A398" s="20" t="n"/>
      <c r="B398" s="20" t="n"/>
      <c r="C398" s="20" t="n"/>
      <c r="D398" s="20" t="n"/>
      <c r="E398" s="20" t="n"/>
      <c r="F398" s="21" t="n"/>
      <c r="G398" s="21" t="n"/>
      <c r="H398" s="20" t="n"/>
      <c r="I398" s="22" t="n"/>
      <c r="J398" s="19">
        <f>IF(OR(F398="",G398=""),"",MAX(0,G398-F398))</f>
        <v/>
      </c>
      <c r="K398" s="23">
        <f>IF(OR(I398="",J398=""),"",I398*J398)</f>
        <v/>
      </c>
      <c r="L398" s="22" t="n"/>
      <c r="M398" s="23">
        <f>IF(K398="","",MAX(0,K398-IF(L398="",0,L398)))</f>
        <v/>
      </c>
      <c r="N398" s="20" t="n"/>
      <c r="O398" s="20" t="n"/>
      <c r="P398" s="20" t="n"/>
      <c r="Q398" s="20" t="n"/>
      <c r="R398" s="20" t="n"/>
      <c r="S398" s="19">
        <f>IF(A398="","",IF(COUNTIF('Email Log'!B:B,A398)&gt;0,"YES","NO"))</f>
        <v/>
      </c>
    </row>
    <row r="399">
      <c r="A399" s="20" t="n"/>
      <c r="B399" s="20" t="n"/>
      <c r="C399" s="20" t="n"/>
      <c r="D399" s="20" t="n"/>
      <c r="E399" s="20" t="n"/>
      <c r="F399" s="21" t="n"/>
      <c r="G399" s="21" t="n"/>
      <c r="H399" s="20" t="n"/>
      <c r="I399" s="22" t="n"/>
      <c r="J399" s="19">
        <f>IF(OR(F399="",G399=""),"",MAX(0,G399-F399))</f>
        <v/>
      </c>
      <c r="K399" s="23">
        <f>IF(OR(I399="",J399=""),"",I399*J399)</f>
        <v/>
      </c>
      <c r="L399" s="22" t="n"/>
      <c r="M399" s="23">
        <f>IF(K399="","",MAX(0,K399-IF(L399="",0,L399)))</f>
        <v/>
      </c>
      <c r="N399" s="20" t="n"/>
      <c r="O399" s="20" t="n"/>
      <c r="P399" s="20" t="n"/>
      <c r="Q399" s="20" t="n"/>
      <c r="R399" s="20" t="n"/>
      <c r="S399" s="19">
        <f>IF(A399="","",IF(COUNTIF('Email Log'!B:B,A399)&gt;0,"YES","NO"))</f>
        <v/>
      </c>
    </row>
    <row r="400">
      <c r="A400" s="20" t="n"/>
      <c r="B400" s="20" t="n"/>
      <c r="C400" s="20" t="n"/>
      <c r="D400" s="20" t="n"/>
      <c r="E400" s="20" t="n"/>
      <c r="F400" s="21" t="n"/>
      <c r="G400" s="21" t="n"/>
      <c r="H400" s="20" t="n"/>
      <c r="I400" s="22" t="n"/>
      <c r="J400" s="19">
        <f>IF(OR(F400="",G400=""),"",MAX(0,G400-F400))</f>
        <v/>
      </c>
      <c r="K400" s="23">
        <f>IF(OR(I400="",J400=""),"",I400*J400)</f>
        <v/>
      </c>
      <c r="L400" s="22" t="n"/>
      <c r="M400" s="23">
        <f>IF(K400="","",MAX(0,K400-IF(L400="",0,L400)))</f>
        <v/>
      </c>
      <c r="N400" s="20" t="n"/>
      <c r="O400" s="20" t="n"/>
      <c r="P400" s="20" t="n"/>
      <c r="Q400" s="20" t="n"/>
      <c r="R400" s="20" t="n"/>
      <c r="S400" s="19">
        <f>IF(A400="","",IF(COUNTIF('Email Log'!B:B,A400)&gt;0,"YES","NO"))</f>
        <v/>
      </c>
    </row>
    <row r="401">
      <c r="A401" s="20" t="n"/>
      <c r="B401" s="20" t="n"/>
      <c r="C401" s="20" t="n"/>
      <c r="D401" s="20" t="n"/>
      <c r="E401" s="20" t="n"/>
      <c r="F401" s="21" t="n"/>
      <c r="G401" s="21" t="n"/>
      <c r="H401" s="20" t="n"/>
      <c r="I401" s="22" t="n"/>
      <c r="J401" s="19">
        <f>IF(OR(F401="",G401=""),"",MAX(0,G401-F401))</f>
        <v/>
      </c>
      <c r="K401" s="23">
        <f>IF(OR(I401="",J401=""),"",I401*J401)</f>
        <v/>
      </c>
      <c r="L401" s="22" t="n"/>
      <c r="M401" s="23">
        <f>IF(K401="","",MAX(0,K401-IF(L401="",0,L401)))</f>
        <v/>
      </c>
      <c r="N401" s="20" t="n"/>
      <c r="O401" s="20" t="n"/>
      <c r="P401" s="20" t="n"/>
      <c r="Q401" s="20" t="n"/>
      <c r="R401" s="20" t="n"/>
      <c r="S401" s="19">
        <f>IF(A401="","",IF(COUNTIF('Email Log'!B:B,A401)&gt;0,"YES","NO"))</f>
        <v/>
      </c>
    </row>
    <row r="402">
      <c r="A402" s="20" t="n"/>
      <c r="B402" s="20" t="n"/>
      <c r="C402" s="20" t="n"/>
      <c r="D402" s="20" t="n"/>
      <c r="E402" s="20" t="n"/>
      <c r="F402" s="21" t="n"/>
      <c r="G402" s="21" t="n"/>
      <c r="H402" s="20" t="n"/>
      <c r="I402" s="22" t="n"/>
      <c r="J402" s="19">
        <f>IF(OR(F402="",G402=""),"",MAX(0,G402-F402))</f>
        <v/>
      </c>
      <c r="K402" s="23">
        <f>IF(OR(I402="",J402=""),"",I402*J402)</f>
        <v/>
      </c>
      <c r="L402" s="22" t="n"/>
      <c r="M402" s="23">
        <f>IF(K402="","",MAX(0,K402-IF(L402="",0,L402)))</f>
        <v/>
      </c>
      <c r="N402" s="20" t="n"/>
      <c r="O402" s="20" t="n"/>
      <c r="P402" s="20" t="n"/>
      <c r="Q402" s="20" t="n"/>
      <c r="R402" s="20" t="n"/>
      <c r="S402" s="19">
        <f>IF(A402="","",IF(COUNTIF('Email Log'!B:B,A402)&gt;0,"YES","NO"))</f>
        <v/>
      </c>
    </row>
    <row r="403">
      <c r="A403" s="20" t="n"/>
      <c r="B403" s="20" t="n"/>
      <c r="C403" s="20" t="n"/>
      <c r="D403" s="20" t="n"/>
      <c r="E403" s="20" t="n"/>
      <c r="F403" s="21" t="n"/>
      <c r="G403" s="21" t="n"/>
      <c r="H403" s="20" t="n"/>
      <c r="I403" s="22" t="n"/>
      <c r="J403" s="19">
        <f>IF(OR(F403="",G403=""),"",MAX(0,G403-F403))</f>
        <v/>
      </c>
      <c r="K403" s="23">
        <f>IF(OR(I403="",J403=""),"",I403*J403)</f>
        <v/>
      </c>
      <c r="L403" s="22" t="n"/>
      <c r="M403" s="23">
        <f>IF(K403="","",MAX(0,K403-IF(L403="",0,L403)))</f>
        <v/>
      </c>
      <c r="N403" s="20" t="n"/>
      <c r="O403" s="20" t="n"/>
      <c r="P403" s="20" t="n"/>
      <c r="Q403" s="20" t="n"/>
      <c r="R403" s="20" t="n"/>
      <c r="S403" s="19">
        <f>IF(A403="","",IF(COUNTIF('Email Log'!B:B,A403)&gt;0,"YES","NO"))</f>
        <v/>
      </c>
    </row>
    <row r="404">
      <c r="A404" s="20" t="n"/>
      <c r="B404" s="20" t="n"/>
      <c r="C404" s="20" t="n"/>
      <c r="D404" s="20" t="n"/>
      <c r="E404" s="20" t="n"/>
      <c r="F404" s="21" t="n"/>
      <c r="G404" s="21" t="n"/>
      <c r="H404" s="20" t="n"/>
      <c r="I404" s="22" t="n"/>
      <c r="J404" s="19">
        <f>IF(OR(F404="",G404=""),"",MAX(0,G404-F404))</f>
        <v/>
      </c>
      <c r="K404" s="23">
        <f>IF(OR(I404="",J404=""),"",I404*J404)</f>
        <v/>
      </c>
      <c r="L404" s="22" t="n"/>
      <c r="M404" s="23">
        <f>IF(K404="","",MAX(0,K404-IF(L404="",0,L404)))</f>
        <v/>
      </c>
      <c r="N404" s="20" t="n"/>
      <c r="O404" s="20" t="n"/>
      <c r="P404" s="20" t="n"/>
      <c r="Q404" s="20" t="n"/>
      <c r="R404" s="20" t="n"/>
      <c r="S404" s="19">
        <f>IF(A404="","",IF(COUNTIF('Email Log'!B:B,A404)&gt;0,"YES","NO"))</f>
        <v/>
      </c>
    </row>
    <row r="405">
      <c r="A405" s="20" t="n"/>
      <c r="B405" s="20" t="n"/>
      <c r="C405" s="20" t="n"/>
      <c r="D405" s="20" t="n"/>
      <c r="E405" s="20" t="n"/>
      <c r="F405" s="21" t="n"/>
      <c r="G405" s="21" t="n"/>
      <c r="H405" s="20" t="n"/>
      <c r="I405" s="22" t="n"/>
      <c r="J405" s="19">
        <f>IF(OR(F405="",G405=""),"",MAX(0,G405-F405))</f>
        <v/>
      </c>
      <c r="K405" s="23">
        <f>IF(OR(I405="",J405=""),"",I405*J405)</f>
        <v/>
      </c>
      <c r="L405" s="22" t="n"/>
      <c r="M405" s="23">
        <f>IF(K405="","",MAX(0,K405-IF(L405="",0,L405)))</f>
        <v/>
      </c>
      <c r="N405" s="20" t="n"/>
      <c r="O405" s="20" t="n"/>
      <c r="P405" s="20" t="n"/>
      <c r="Q405" s="20" t="n"/>
      <c r="R405" s="20" t="n"/>
      <c r="S405" s="19">
        <f>IF(A405="","",IF(COUNTIF('Email Log'!B:B,A405)&gt;0,"YES","NO"))</f>
        <v/>
      </c>
    </row>
    <row r="406">
      <c r="A406" s="20" t="n"/>
      <c r="B406" s="20" t="n"/>
      <c r="C406" s="20" t="n"/>
      <c r="D406" s="20" t="n"/>
      <c r="E406" s="20" t="n"/>
      <c r="F406" s="21" t="n"/>
      <c r="G406" s="21" t="n"/>
      <c r="H406" s="20" t="n"/>
      <c r="I406" s="22" t="n"/>
      <c r="J406" s="19">
        <f>IF(OR(F406="",G406=""),"",MAX(0,G406-F406))</f>
        <v/>
      </c>
      <c r="K406" s="23">
        <f>IF(OR(I406="",J406=""),"",I406*J406)</f>
        <v/>
      </c>
      <c r="L406" s="22" t="n"/>
      <c r="M406" s="23">
        <f>IF(K406="","",MAX(0,K406-IF(L406="",0,L406)))</f>
        <v/>
      </c>
      <c r="N406" s="20" t="n"/>
      <c r="O406" s="20" t="n"/>
      <c r="P406" s="20" t="n"/>
      <c r="Q406" s="20" t="n"/>
      <c r="R406" s="20" t="n"/>
      <c r="S406" s="19">
        <f>IF(A406="","",IF(COUNTIF('Email Log'!B:B,A406)&gt;0,"YES","NO"))</f>
        <v/>
      </c>
    </row>
    <row r="407">
      <c r="A407" s="20" t="n"/>
      <c r="B407" s="20" t="n"/>
      <c r="C407" s="20" t="n"/>
      <c r="D407" s="20" t="n"/>
      <c r="E407" s="20" t="n"/>
      <c r="F407" s="21" t="n"/>
      <c r="G407" s="21" t="n"/>
      <c r="H407" s="20" t="n"/>
      <c r="I407" s="22" t="n"/>
      <c r="J407" s="19">
        <f>IF(OR(F407="",G407=""),"",MAX(0,G407-F407))</f>
        <v/>
      </c>
      <c r="K407" s="23">
        <f>IF(OR(I407="",J407=""),"",I407*J407)</f>
        <v/>
      </c>
      <c r="L407" s="22" t="n"/>
      <c r="M407" s="23">
        <f>IF(K407="","",MAX(0,K407-IF(L407="",0,L407)))</f>
        <v/>
      </c>
      <c r="N407" s="20" t="n"/>
      <c r="O407" s="20" t="n"/>
      <c r="P407" s="20" t="n"/>
      <c r="Q407" s="20" t="n"/>
      <c r="R407" s="20" t="n"/>
      <c r="S407" s="19">
        <f>IF(A407="","",IF(COUNTIF('Email Log'!B:B,A407)&gt;0,"YES","NO"))</f>
        <v/>
      </c>
    </row>
    <row r="408">
      <c r="A408" s="20" t="n"/>
      <c r="B408" s="20" t="n"/>
      <c r="C408" s="20" t="n"/>
      <c r="D408" s="20" t="n"/>
      <c r="E408" s="20" t="n"/>
      <c r="F408" s="21" t="n"/>
      <c r="G408" s="21" t="n"/>
      <c r="H408" s="20" t="n"/>
      <c r="I408" s="22" t="n"/>
      <c r="J408" s="19">
        <f>IF(OR(F408="",G408=""),"",MAX(0,G408-F408))</f>
        <v/>
      </c>
      <c r="K408" s="23">
        <f>IF(OR(I408="",J408=""),"",I408*J408)</f>
        <v/>
      </c>
      <c r="L408" s="22" t="n"/>
      <c r="M408" s="23">
        <f>IF(K408="","",MAX(0,K408-IF(L408="",0,L408)))</f>
        <v/>
      </c>
      <c r="N408" s="20" t="n"/>
      <c r="O408" s="20" t="n"/>
      <c r="P408" s="20" t="n"/>
      <c r="Q408" s="20" t="n"/>
      <c r="R408" s="20" t="n"/>
      <c r="S408" s="19">
        <f>IF(A408="","",IF(COUNTIF('Email Log'!B:B,A408)&gt;0,"YES","NO"))</f>
        <v/>
      </c>
    </row>
    <row r="409">
      <c r="A409" s="20" t="n"/>
      <c r="B409" s="20" t="n"/>
      <c r="C409" s="20" t="n"/>
      <c r="D409" s="20" t="n"/>
      <c r="E409" s="20" t="n"/>
      <c r="F409" s="21" t="n"/>
      <c r="G409" s="21" t="n"/>
      <c r="H409" s="20" t="n"/>
      <c r="I409" s="22" t="n"/>
      <c r="J409" s="19">
        <f>IF(OR(F409="",G409=""),"",MAX(0,G409-F409))</f>
        <v/>
      </c>
      <c r="K409" s="23">
        <f>IF(OR(I409="",J409=""),"",I409*J409)</f>
        <v/>
      </c>
      <c r="L409" s="22" t="n"/>
      <c r="M409" s="23">
        <f>IF(K409="","",MAX(0,K409-IF(L409="",0,L409)))</f>
        <v/>
      </c>
      <c r="N409" s="20" t="n"/>
      <c r="O409" s="20" t="n"/>
      <c r="P409" s="20" t="n"/>
      <c r="Q409" s="20" t="n"/>
      <c r="R409" s="20" t="n"/>
      <c r="S409" s="19">
        <f>IF(A409="","",IF(COUNTIF('Email Log'!B:B,A409)&gt;0,"YES","NO"))</f>
        <v/>
      </c>
    </row>
    <row r="410">
      <c r="A410" s="20" t="n"/>
      <c r="B410" s="20" t="n"/>
      <c r="C410" s="20" t="n"/>
      <c r="D410" s="20" t="n"/>
      <c r="E410" s="20" t="n"/>
      <c r="F410" s="21" t="n"/>
      <c r="G410" s="21" t="n"/>
      <c r="H410" s="20" t="n"/>
      <c r="I410" s="22" t="n"/>
      <c r="J410" s="19">
        <f>IF(OR(F410="",G410=""),"",MAX(0,G410-F410))</f>
        <v/>
      </c>
      <c r="K410" s="23">
        <f>IF(OR(I410="",J410=""),"",I410*J410)</f>
        <v/>
      </c>
      <c r="L410" s="22" t="n"/>
      <c r="M410" s="23">
        <f>IF(K410="","",MAX(0,K410-IF(L410="",0,L410)))</f>
        <v/>
      </c>
      <c r="N410" s="20" t="n"/>
      <c r="O410" s="20" t="n"/>
      <c r="P410" s="20" t="n"/>
      <c r="Q410" s="20" t="n"/>
      <c r="R410" s="20" t="n"/>
      <c r="S410" s="19">
        <f>IF(A410="","",IF(COUNTIF('Email Log'!B:B,A410)&gt;0,"YES","NO"))</f>
        <v/>
      </c>
    </row>
    <row r="411">
      <c r="A411" s="20" t="n"/>
      <c r="B411" s="20" t="n"/>
      <c r="C411" s="20" t="n"/>
      <c r="D411" s="20" t="n"/>
      <c r="E411" s="20" t="n"/>
      <c r="F411" s="21" t="n"/>
      <c r="G411" s="21" t="n"/>
      <c r="H411" s="20" t="n"/>
      <c r="I411" s="22" t="n"/>
      <c r="J411" s="19">
        <f>IF(OR(F411="",G411=""),"",MAX(0,G411-F411))</f>
        <v/>
      </c>
      <c r="K411" s="23">
        <f>IF(OR(I411="",J411=""),"",I411*J411)</f>
        <v/>
      </c>
      <c r="L411" s="22" t="n"/>
      <c r="M411" s="23">
        <f>IF(K411="","",MAX(0,K411-IF(L411="",0,L411)))</f>
        <v/>
      </c>
      <c r="N411" s="20" t="n"/>
      <c r="O411" s="20" t="n"/>
      <c r="P411" s="20" t="n"/>
      <c r="Q411" s="20" t="n"/>
      <c r="R411" s="20" t="n"/>
      <c r="S411" s="19">
        <f>IF(A411="","",IF(COUNTIF('Email Log'!B:B,A411)&gt;0,"YES","NO"))</f>
        <v/>
      </c>
    </row>
    <row r="412">
      <c r="A412" s="20" t="n"/>
      <c r="B412" s="20" t="n"/>
      <c r="C412" s="20" t="n"/>
      <c r="D412" s="20" t="n"/>
      <c r="E412" s="20" t="n"/>
      <c r="F412" s="21" t="n"/>
      <c r="G412" s="21" t="n"/>
      <c r="H412" s="20" t="n"/>
      <c r="I412" s="22" t="n"/>
      <c r="J412" s="19">
        <f>IF(OR(F412="",G412=""),"",MAX(0,G412-F412))</f>
        <v/>
      </c>
      <c r="K412" s="23">
        <f>IF(OR(I412="",J412=""),"",I412*J412)</f>
        <v/>
      </c>
      <c r="L412" s="22" t="n"/>
      <c r="M412" s="23">
        <f>IF(K412="","",MAX(0,K412-IF(L412="",0,L412)))</f>
        <v/>
      </c>
      <c r="N412" s="20" t="n"/>
      <c r="O412" s="20" t="n"/>
      <c r="P412" s="20" t="n"/>
      <c r="Q412" s="20" t="n"/>
      <c r="R412" s="20" t="n"/>
      <c r="S412" s="19">
        <f>IF(A412="","",IF(COUNTIF('Email Log'!B:B,A412)&gt;0,"YES","NO"))</f>
        <v/>
      </c>
    </row>
    <row r="413">
      <c r="A413" s="20" t="n"/>
      <c r="B413" s="20" t="n"/>
      <c r="C413" s="20" t="n"/>
      <c r="D413" s="20" t="n"/>
      <c r="E413" s="20" t="n"/>
      <c r="F413" s="21" t="n"/>
      <c r="G413" s="21" t="n"/>
      <c r="H413" s="20" t="n"/>
      <c r="I413" s="22" t="n"/>
      <c r="J413" s="19">
        <f>IF(OR(F413="",G413=""),"",MAX(0,G413-F413))</f>
        <v/>
      </c>
      <c r="K413" s="23">
        <f>IF(OR(I413="",J413=""),"",I413*J413)</f>
        <v/>
      </c>
      <c r="L413" s="22" t="n"/>
      <c r="M413" s="23">
        <f>IF(K413="","",MAX(0,K413-IF(L413="",0,L413)))</f>
        <v/>
      </c>
      <c r="N413" s="20" t="n"/>
      <c r="O413" s="20" t="n"/>
      <c r="P413" s="20" t="n"/>
      <c r="Q413" s="20" t="n"/>
      <c r="R413" s="20" t="n"/>
      <c r="S413" s="19">
        <f>IF(A413="","",IF(COUNTIF('Email Log'!B:B,A413)&gt;0,"YES","NO"))</f>
        <v/>
      </c>
    </row>
    <row r="414">
      <c r="A414" s="20" t="n"/>
      <c r="B414" s="20" t="n"/>
      <c r="C414" s="20" t="n"/>
      <c r="D414" s="20" t="n"/>
      <c r="E414" s="20" t="n"/>
      <c r="F414" s="21" t="n"/>
      <c r="G414" s="21" t="n"/>
      <c r="H414" s="20" t="n"/>
      <c r="I414" s="22" t="n"/>
      <c r="J414" s="19">
        <f>IF(OR(F414="",G414=""),"",MAX(0,G414-F414))</f>
        <v/>
      </c>
      <c r="K414" s="23">
        <f>IF(OR(I414="",J414=""),"",I414*J414)</f>
        <v/>
      </c>
      <c r="L414" s="22" t="n"/>
      <c r="M414" s="23">
        <f>IF(K414="","",MAX(0,K414-IF(L414="",0,L414)))</f>
        <v/>
      </c>
      <c r="N414" s="20" t="n"/>
      <c r="O414" s="20" t="n"/>
      <c r="P414" s="20" t="n"/>
      <c r="Q414" s="20" t="n"/>
      <c r="R414" s="20" t="n"/>
      <c r="S414" s="19">
        <f>IF(A414="","",IF(COUNTIF('Email Log'!B:B,A414)&gt;0,"YES","NO"))</f>
        <v/>
      </c>
    </row>
    <row r="415">
      <c r="A415" s="20" t="n"/>
      <c r="B415" s="20" t="n"/>
      <c r="C415" s="20" t="n"/>
      <c r="D415" s="20" t="n"/>
      <c r="E415" s="20" t="n"/>
      <c r="F415" s="21" t="n"/>
      <c r="G415" s="21" t="n"/>
      <c r="H415" s="20" t="n"/>
      <c r="I415" s="22" t="n"/>
      <c r="J415" s="19">
        <f>IF(OR(F415="",G415=""),"",MAX(0,G415-F415))</f>
        <v/>
      </c>
      <c r="K415" s="23">
        <f>IF(OR(I415="",J415=""),"",I415*J415)</f>
        <v/>
      </c>
      <c r="L415" s="22" t="n"/>
      <c r="M415" s="23">
        <f>IF(K415="","",MAX(0,K415-IF(L415="",0,L415)))</f>
        <v/>
      </c>
      <c r="N415" s="20" t="n"/>
      <c r="O415" s="20" t="n"/>
      <c r="P415" s="20" t="n"/>
      <c r="Q415" s="20" t="n"/>
      <c r="R415" s="20" t="n"/>
      <c r="S415" s="19">
        <f>IF(A415="","",IF(COUNTIF('Email Log'!B:B,A415)&gt;0,"YES","NO"))</f>
        <v/>
      </c>
    </row>
    <row r="416">
      <c r="A416" s="20" t="n"/>
      <c r="B416" s="20" t="n"/>
      <c r="C416" s="20" t="n"/>
      <c r="D416" s="20" t="n"/>
      <c r="E416" s="20" t="n"/>
      <c r="F416" s="21" t="n"/>
      <c r="G416" s="21" t="n"/>
      <c r="H416" s="20" t="n"/>
      <c r="I416" s="22" t="n"/>
      <c r="J416" s="19">
        <f>IF(OR(F416="",G416=""),"",MAX(0,G416-F416))</f>
        <v/>
      </c>
      <c r="K416" s="23">
        <f>IF(OR(I416="",J416=""),"",I416*J416)</f>
        <v/>
      </c>
      <c r="L416" s="22" t="n"/>
      <c r="M416" s="23">
        <f>IF(K416="","",MAX(0,K416-IF(L416="",0,L416)))</f>
        <v/>
      </c>
      <c r="N416" s="20" t="n"/>
      <c r="O416" s="20" t="n"/>
      <c r="P416" s="20" t="n"/>
      <c r="Q416" s="20" t="n"/>
      <c r="R416" s="20" t="n"/>
      <c r="S416" s="19">
        <f>IF(A416="","",IF(COUNTIF('Email Log'!B:B,A416)&gt;0,"YES","NO"))</f>
        <v/>
      </c>
    </row>
    <row r="417">
      <c r="A417" s="20" t="n"/>
      <c r="B417" s="20" t="n"/>
      <c r="C417" s="20" t="n"/>
      <c r="D417" s="20" t="n"/>
      <c r="E417" s="20" t="n"/>
      <c r="F417" s="21" t="n"/>
      <c r="G417" s="21" t="n"/>
      <c r="H417" s="20" t="n"/>
      <c r="I417" s="22" t="n"/>
      <c r="J417" s="19">
        <f>IF(OR(F417="",G417=""),"",MAX(0,G417-F417))</f>
        <v/>
      </c>
      <c r="K417" s="23">
        <f>IF(OR(I417="",J417=""),"",I417*J417)</f>
        <v/>
      </c>
      <c r="L417" s="22" t="n"/>
      <c r="M417" s="23">
        <f>IF(K417="","",MAX(0,K417-IF(L417="",0,L417)))</f>
        <v/>
      </c>
      <c r="N417" s="20" t="n"/>
      <c r="O417" s="20" t="n"/>
      <c r="P417" s="20" t="n"/>
      <c r="Q417" s="20" t="n"/>
      <c r="R417" s="20" t="n"/>
      <c r="S417" s="19">
        <f>IF(A417="","",IF(COUNTIF('Email Log'!B:B,A417)&gt;0,"YES","NO"))</f>
        <v/>
      </c>
    </row>
    <row r="418">
      <c r="A418" s="20" t="n"/>
      <c r="B418" s="20" t="n"/>
      <c r="C418" s="20" t="n"/>
      <c r="D418" s="20" t="n"/>
      <c r="E418" s="20" t="n"/>
      <c r="F418" s="21" t="n"/>
      <c r="G418" s="21" t="n"/>
      <c r="H418" s="20" t="n"/>
      <c r="I418" s="22" t="n"/>
      <c r="J418" s="19">
        <f>IF(OR(F418="",G418=""),"",MAX(0,G418-F418))</f>
        <v/>
      </c>
      <c r="K418" s="23">
        <f>IF(OR(I418="",J418=""),"",I418*J418)</f>
        <v/>
      </c>
      <c r="L418" s="22" t="n"/>
      <c r="M418" s="23">
        <f>IF(K418="","",MAX(0,K418-IF(L418="",0,L418)))</f>
        <v/>
      </c>
      <c r="N418" s="20" t="n"/>
      <c r="O418" s="20" t="n"/>
      <c r="P418" s="20" t="n"/>
      <c r="Q418" s="20" t="n"/>
      <c r="R418" s="20" t="n"/>
      <c r="S418" s="19">
        <f>IF(A418="","",IF(COUNTIF('Email Log'!B:B,A418)&gt;0,"YES","NO"))</f>
        <v/>
      </c>
    </row>
    <row r="419">
      <c r="A419" s="20" t="n"/>
      <c r="B419" s="20" t="n"/>
      <c r="C419" s="20" t="n"/>
      <c r="D419" s="20" t="n"/>
      <c r="E419" s="20" t="n"/>
      <c r="F419" s="21" t="n"/>
      <c r="G419" s="21" t="n"/>
      <c r="H419" s="20" t="n"/>
      <c r="I419" s="22" t="n"/>
      <c r="J419" s="19">
        <f>IF(OR(F419="",G419=""),"",MAX(0,G419-F419))</f>
        <v/>
      </c>
      <c r="K419" s="23">
        <f>IF(OR(I419="",J419=""),"",I419*J419)</f>
        <v/>
      </c>
      <c r="L419" s="22" t="n"/>
      <c r="M419" s="23">
        <f>IF(K419="","",MAX(0,K419-IF(L419="",0,L419)))</f>
        <v/>
      </c>
      <c r="N419" s="20" t="n"/>
      <c r="O419" s="20" t="n"/>
      <c r="P419" s="20" t="n"/>
      <c r="Q419" s="20" t="n"/>
      <c r="R419" s="20" t="n"/>
      <c r="S419" s="19">
        <f>IF(A419="","",IF(COUNTIF('Email Log'!B:B,A419)&gt;0,"YES","NO"))</f>
        <v/>
      </c>
    </row>
    <row r="420">
      <c r="A420" s="20" t="n"/>
      <c r="B420" s="20" t="n"/>
      <c r="C420" s="20" t="n"/>
      <c r="D420" s="20" t="n"/>
      <c r="E420" s="20" t="n"/>
      <c r="F420" s="21" t="n"/>
      <c r="G420" s="21" t="n"/>
      <c r="H420" s="20" t="n"/>
      <c r="I420" s="22" t="n"/>
      <c r="J420" s="19">
        <f>IF(OR(F420="",G420=""),"",MAX(0,G420-F420))</f>
        <v/>
      </c>
      <c r="K420" s="23">
        <f>IF(OR(I420="",J420=""),"",I420*J420)</f>
        <v/>
      </c>
      <c r="L420" s="22" t="n"/>
      <c r="M420" s="23">
        <f>IF(K420="","",MAX(0,K420-IF(L420="",0,L420)))</f>
        <v/>
      </c>
      <c r="N420" s="20" t="n"/>
      <c r="O420" s="20" t="n"/>
      <c r="P420" s="20" t="n"/>
      <c r="Q420" s="20" t="n"/>
      <c r="R420" s="20" t="n"/>
      <c r="S420" s="19">
        <f>IF(A420="","",IF(COUNTIF('Email Log'!B:B,A420)&gt;0,"YES","NO"))</f>
        <v/>
      </c>
    </row>
    <row r="421">
      <c r="A421" s="20" t="n"/>
      <c r="B421" s="20" t="n"/>
      <c r="C421" s="20" t="n"/>
      <c r="D421" s="20" t="n"/>
      <c r="E421" s="20" t="n"/>
      <c r="F421" s="21" t="n"/>
      <c r="G421" s="21" t="n"/>
      <c r="H421" s="20" t="n"/>
      <c r="I421" s="22" t="n"/>
      <c r="J421" s="19">
        <f>IF(OR(F421="",G421=""),"",MAX(0,G421-F421))</f>
        <v/>
      </c>
      <c r="K421" s="23">
        <f>IF(OR(I421="",J421=""),"",I421*J421)</f>
        <v/>
      </c>
      <c r="L421" s="22" t="n"/>
      <c r="M421" s="23">
        <f>IF(K421="","",MAX(0,K421-IF(L421="",0,L421)))</f>
        <v/>
      </c>
      <c r="N421" s="20" t="n"/>
      <c r="O421" s="20" t="n"/>
      <c r="P421" s="20" t="n"/>
      <c r="Q421" s="20" t="n"/>
      <c r="R421" s="20" t="n"/>
      <c r="S421" s="19">
        <f>IF(A421="","",IF(COUNTIF('Email Log'!B:B,A421)&gt;0,"YES","NO"))</f>
        <v/>
      </c>
    </row>
    <row r="422">
      <c r="A422" s="20" t="n"/>
      <c r="B422" s="20" t="n"/>
      <c r="C422" s="20" t="n"/>
      <c r="D422" s="20" t="n"/>
      <c r="E422" s="20" t="n"/>
      <c r="F422" s="21" t="n"/>
      <c r="G422" s="21" t="n"/>
      <c r="H422" s="20" t="n"/>
      <c r="I422" s="22" t="n"/>
      <c r="J422" s="19">
        <f>IF(OR(F422="",G422=""),"",MAX(0,G422-F422))</f>
        <v/>
      </c>
      <c r="K422" s="23">
        <f>IF(OR(I422="",J422=""),"",I422*J422)</f>
        <v/>
      </c>
      <c r="L422" s="22" t="n"/>
      <c r="M422" s="23">
        <f>IF(K422="","",MAX(0,K422-IF(L422="",0,L422)))</f>
        <v/>
      </c>
      <c r="N422" s="20" t="n"/>
      <c r="O422" s="20" t="n"/>
      <c r="P422" s="20" t="n"/>
      <c r="Q422" s="20" t="n"/>
      <c r="R422" s="20" t="n"/>
      <c r="S422" s="19">
        <f>IF(A422="","",IF(COUNTIF('Email Log'!B:B,A422)&gt;0,"YES","NO"))</f>
        <v/>
      </c>
    </row>
    <row r="423">
      <c r="A423" s="20" t="n"/>
      <c r="B423" s="20" t="n"/>
      <c r="C423" s="20" t="n"/>
      <c r="D423" s="20" t="n"/>
      <c r="E423" s="20" t="n"/>
      <c r="F423" s="21" t="n"/>
      <c r="G423" s="21" t="n"/>
      <c r="H423" s="20" t="n"/>
      <c r="I423" s="22" t="n"/>
      <c r="J423" s="19">
        <f>IF(OR(F423="",G423=""),"",MAX(0,G423-F423))</f>
        <v/>
      </c>
      <c r="K423" s="23">
        <f>IF(OR(I423="",J423=""),"",I423*J423)</f>
        <v/>
      </c>
      <c r="L423" s="22" t="n"/>
      <c r="M423" s="23">
        <f>IF(K423="","",MAX(0,K423-IF(L423="",0,L423)))</f>
        <v/>
      </c>
      <c r="N423" s="20" t="n"/>
      <c r="O423" s="20" t="n"/>
      <c r="P423" s="20" t="n"/>
      <c r="Q423" s="20" t="n"/>
      <c r="R423" s="20" t="n"/>
      <c r="S423" s="19">
        <f>IF(A423="","",IF(COUNTIF('Email Log'!B:B,A423)&gt;0,"YES","NO"))</f>
        <v/>
      </c>
    </row>
    <row r="424">
      <c r="A424" s="20" t="n"/>
      <c r="B424" s="20" t="n"/>
      <c r="C424" s="20" t="n"/>
      <c r="D424" s="20" t="n"/>
      <c r="E424" s="20" t="n"/>
      <c r="F424" s="21" t="n"/>
      <c r="G424" s="21" t="n"/>
      <c r="H424" s="20" t="n"/>
      <c r="I424" s="22" t="n"/>
      <c r="J424" s="19">
        <f>IF(OR(F424="",G424=""),"",MAX(0,G424-F424))</f>
        <v/>
      </c>
      <c r="K424" s="23">
        <f>IF(OR(I424="",J424=""),"",I424*J424)</f>
        <v/>
      </c>
      <c r="L424" s="22" t="n"/>
      <c r="M424" s="23">
        <f>IF(K424="","",MAX(0,K424-IF(L424="",0,L424)))</f>
        <v/>
      </c>
      <c r="N424" s="20" t="n"/>
      <c r="O424" s="20" t="n"/>
      <c r="P424" s="20" t="n"/>
      <c r="Q424" s="20" t="n"/>
      <c r="R424" s="20" t="n"/>
      <c r="S424" s="19">
        <f>IF(A424="","",IF(COUNTIF('Email Log'!B:B,A424)&gt;0,"YES","NO"))</f>
        <v/>
      </c>
    </row>
    <row r="425">
      <c r="A425" s="20" t="n"/>
      <c r="B425" s="20" t="n"/>
      <c r="C425" s="20" t="n"/>
      <c r="D425" s="20" t="n"/>
      <c r="E425" s="20" t="n"/>
      <c r="F425" s="21" t="n"/>
      <c r="G425" s="21" t="n"/>
      <c r="H425" s="20" t="n"/>
      <c r="I425" s="22" t="n"/>
      <c r="J425" s="19">
        <f>IF(OR(F425="",G425=""),"",MAX(0,G425-F425))</f>
        <v/>
      </c>
      <c r="K425" s="23">
        <f>IF(OR(I425="",J425=""),"",I425*J425)</f>
        <v/>
      </c>
      <c r="L425" s="22" t="n"/>
      <c r="M425" s="23">
        <f>IF(K425="","",MAX(0,K425-IF(L425="",0,L425)))</f>
        <v/>
      </c>
      <c r="N425" s="20" t="n"/>
      <c r="O425" s="20" t="n"/>
      <c r="P425" s="20" t="n"/>
      <c r="Q425" s="20" t="n"/>
      <c r="R425" s="20" t="n"/>
      <c r="S425" s="19">
        <f>IF(A425="","",IF(COUNTIF('Email Log'!B:B,A425)&gt;0,"YES","NO"))</f>
        <v/>
      </c>
    </row>
    <row r="426">
      <c r="A426" s="20" t="n"/>
      <c r="B426" s="20" t="n"/>
      <c r="C426" s="20" t="n"/>
      <c r="D426" s="20" t="n"/>
      <c r="E426" s="20" t="n"/>
      <c r="F426" s="21" t="n"/>
      <c r="G426" s="21" t="n"/>
      <c r="H426" s="20" t="n"/>
      <c r="I426" s="22" t="n"/>
      <c r="J426" s="19">
        <f>IF(OR(F426="",G426=""),"",MAX(0,G426-F426))</f>
        <v/>
      </c>
      <c r="K426" s="23">
        <f>IF(OR(I426="",J426=""),"",I426*J426)</f>
        <v/>
      </c>
      <c r="L426" s="22" t="n"/>
      <c r="M426" s="23">
        <f>IF(K426="","",MAX(0,K426-IF(L426="",0,L426)))</f>
        <v/>
      </c>
      <c r="N426" s="20" t="n"/>
      <c r="O426" s="20" t="n"/>
      <c r="P426" s="20" t="n"/>
      <c r="Q426" s="20" t="n"/>
      <c r="R426" s="20" t="n"/>
      <c r="S426" s="19">
        <f>IF(A426="","",IF(COUNTIF('Email Log'!B:B,A426)&gt;0,"YES","NO"))</f>
        <v/>
      </c>
    </row>
    <row r="427">
      <c r="A427" s="20" t="n"/>
      <c r="B427" s="20" t="n"/>
      <c r="C427" s="20" t="n"/>
      <c r="D427" s="20" t="n"/>
      <c r="E427" s="20" t="n"/>
      <c r="F427" s="21" t="n"/>
      <c r="G427" s="21" t="n"/>
      <c r="H427" s="20" t="n"/>
      <c r="I427" s="22" t="n"/>
      <c r="J427" s="19">
        <f>IF(OR(F427="",G427=""),"",MAX(0,G427-F427))</f>
        <v/>
      </c>
      <c r="K427" s="23">
        <f>IF(OR(I427="",J427=""),"",I427*J427)</f>
        <v/>
      </c>
      <c r="L427" s="22" t="n"/>
      <c r="M427" s="23">
        <f>IF(K427="","",MAX(0,K427-IF(L427="",0,L427)))</f>
        <v/>
      </c>
      <c r="N427" s="20" t="n"/>
      <c r="O427" s="20" t="n"/>
      <c r="P427" s="20" t="n"/>
      <c r="Q427" s="20" t="n"/>
      <c r="R427" s="20" t="n"/>
      <c r="S427" s="19">
        <f>IF(A427="","",IF(COUNTIF('Email Log'!B:B,A427)&gt;0,"YES","NO"))</f>
        <v/>
      </c>
    </row>
    <row r="428">
      <c r="A428" s="20" t="n"/>
      <c r="B428" s="20" t="n"/>
      <c r="C428" s="20" t="n"/>
      <c r="D428" s="20" t="n"/>
      <c r="E428" s="20" t="n"/>
      <c r="F428" s="21" t="n"/>
      <c r="G428" s="21" t="n"/>
      <c r="H428" s="20" t="n"/>
      <c r="I428" s="22" t="n"/>
      <c r="J428" s="19">
        <f>IF(OR(F428="",G428=""),"",MAX(0,G428-F428))</f>
        <v/>
      </c>
      <c r="K428" s="23">
        <f>IF(OR(I428="",J428=""),"",I428*J428)</f>
        <v/>
      </c>
      <c r="L428" s="22" t="n"/>
      <c r="M428" s="23">
        <f>IF(K428="","",MAX(0,K428-IF(L428="",0,L428)))</f>
        <v/>
      </c>
      <c r="N428" s="20" t="n"/>
      <c r="O428" s="20" t="n"/>
      <c r="P428" s="20" t="n"/>
      <c r="Q428" s="20" t="n"/>
      <c r="R428" s="20" t="n"/>
      <c r="S428" s="19">
        <f>IF(A428="","",IF(COUNTIF('Email Log'!B:B,A428)&gt;0,"YES","NO"))</f>
        <v/>
      </c>
    </row>
    <row r="429">
      <c r="A429" s="20" t="n"/>
      <c r="B429" s="20" t="n"/>
      <c r="C429" s="20" t="n"/>
      <c r="D429" s="20" t="n"/>
      <c r="E429" s="20" t="n"/>
      <c r="F429" s="21" t="n"/>
      <c r="G429" s="21" t="n"/>
      <c r="H429" s="20" t="n"/>
      <c r="I429" s="22" t="n"/>
      <c r="J429" s="19">
        <f>IF(OR(F429="",G429=""),"",MAX(0,G429-F429))</f>
        <v/>
      </c>
      <c r="K429" s="23">
        <f>IF(OR(I429="",J429=""),"",I429*J429)</f>
        <v/>
      </c>
      <c r="L429" s="22" t="n"/>
      <c r="M429" s="23">
        <f>IF(K429="","",MAX(0,K429-IF(L429="",0,L429)))</f>
        <v/>
      </c>
      <c r="N429" s="20" t="n"/>
      <c r="O429" s="20" t="n"/>
      <c r="P429" s="20" t="n"/>
      <c r="Q429" s="20" t="n"/>
      <c r="R429" s="20" t="n"/>
      <c r="S429" s="19">
        <f>IF(A429="","",IF(COUNTIF('Email Log'!B:B,A429)&gt;0,"YES","NO"))</f>
        <v/>
      </c>
    </row>
    <row r="430">
      <c r="A430" s="20" t="n"/>
      <c r="B430" s="20" t="n"/>
      <c r="C430" s="20" t="n"/>
      <c r="D430" s="20" t="n"/>
      <c r="E430" s="20" t="n"/>
      <c r="F430" s="21" t="n"/>
      <c r="G430" s="21" t="n"/>
      <c r="H430" s="20" t="n"/>
      <c r="I430" s="22" t="n"/>
      <c r="J430" s="19">
        <f>IF(OR(F430="",G430=""),"",MAX(0,G430-F430))</f>
        <v/>
      </c>
      <c r="K430" s="23">
        <f>IF(OR(I430="",J430=""),"",I430*J430)</f>
        <v/>
      </c>
      <c r="L430" s="22" t="n"/>
      <c r="M430" s="23">
        <f>IF(K430="","",MAX(0,K430-IF(L430="",0,L430)))</f>
        <v/>
      </c>
      <c r="N430" s="20" t="n"/>
      <c r="O430" s="20" t="n"/>
      <c r="P430" s="20" t="n"/>
      <c r="Q430" s="20" t="n"/>
      <c r="R430" s="20" t="n"/>
      <c r="S430" s="19">
        <f>IF(A430="","",IF(COUNTIF('Email Log'!B:B,A430)&gt;0,"YES","NO"))</f>
        <v/>
      </c>
    </row>
    <row r="431">
      <c r="A431" s="20" t="n"/>
      <c r="B431" s="20" t="n"/>
      <c r="C431" s="20" t="n"/>
      <c r="D431" s="20" t="n"/>
      <c r="E431" s="20" t="n"/>
      <c r="F431" s="21" t="n"/>
      <c r="G431" s="21" t="n"/>
      <c r="H431" s="20" t="n"/>
      <c r="I431" s="22" t="n"/>
      <c r="J431" s="19">
        <f>IF(OR(F431="",G431=""),"",MAX(0,G431-F431))</f>
        <v/>
      </c>
      <c r="K431" s="23">
        <f>IF(OR(I431="",J431=""),"",I431*J431)</f>
        <v/>
      </c>
      <c r="L431" s="22" t="n"/>
      <c r="M431" s="23">
        <f>IF(K431="","",MAX(0,K431-IF(L431="",0,L431)))</f>
        <v/>
      </c>
      <c r="N431" s="20" t="n"/>
      <c r="O431" s="20" t="n"/>
      <c r="P431" s="20" t="n"/>
      <c r="Q431" s="20" t="n"/>
      <c r="R431" s="20" t="n"/>
      <c r="S431" s="19">
        <f>IF(A431="","",IF(COUNTIF('Email Log'!B:B,A431)&gt;0,"YES","NO"))</f>
        <v/>
      </c>
    </row>
    <row r="432">
      <c r="A432" s="20" t="n"/>
      <c r="B432" s="20" t="n"/>
      <c r="C432" s="20" t="n"/>
      <c r="D432" s="20" t="n"/>
      <c r="E432" s="20" t="n"/>
      <c r="F432" s="21" t="n"/>
      <c r="G432" s="21" t="n"/>
      <c r="H432" s="20" t="n"/>
      <c r="I432" s="22" t="n"/>
      <c r="J432" s="19">
        <f>IF(OR(F432="",G432=""),"",MAX(0,G432-F432))</f>
        <v/>
      </c>
      <c r="K432" s="23">
        <f>IF(OR(I432="",J432=""),"",I432*J432)</f>
        <v/>
      </c>
      <c r="L432" s="22" t="n"/>
      <c r="M432" s="23">
        <f>IF(K432="","",MAX(0,K432-IF(L432="",0,L432)))</f>
        <v/>
      </c>
      <c r="N432" s="20" t="n"/>
      <c r="O432" s="20" t="n"/>
      <c r="P432" s="20" t="n"/>
      <c r="Q432" s="20" t="n"/>
      <c r="R432" s="20" t="n"/>
      <c r="S432" s="19">
        <f>IF(A432="","",IF(COUNTIF('Email Log'!B:B,A432)&gt;0,"YES","NO"))</f>
        <v/>
      </c>
    </row>
    <row r="433">
      <c r="A433" s="20" t="n"/>
      <c r="B433" s="20" t="n"/>
      <c r="C433" s="20" t="n"/>
      <c r="D433" s="20" t="n"/>
      <c r="E433" s="20" t="n"/>
      <c r="F433" s="21" t="n"/>
      <c r="G433" s="21" t="n"/>
      <c r="H433" s="20" t="n"/>
      <c r="I433" s="22" t="n"/>
      <c r="J433" s="19">
        <f>IF(OR(F433="",G433=""),"",MAX(0,G433-F433))</f>
        <v/>
      </c>
      <c r="K433" s="23">
        <f>IF(OR(I433="",J433=""),"",I433*J433)</f>
        <v/>
      </c>
      <c r="L433" s="22" t="n"/>
      <c r="M433" s="23">
        <f>IF(K433="","",MAX(0,K433-IF(L433="",0,L433)))</f>
        <v/>
      </c>
      <c r="N433" s="20" t="n"/>
      <c r="O433" s="20" t="n"/>
      <c r="P433" s="20" t="n"/>
      <c r="Q433" s="20" t="n"/>
      <c r="R433" s="20" t="n"/>
      <c r="S433" s="19">
        <f>IF(A433="","",IF(COUNTIF('Email Log'!B:B,A433)&gt;0,"YES","NO"))</f>
        <v/>
      </c>
    </row>
    <row r="434">
      <c r="A434" s="20" t="n"/>
      <c r="B434" s="20" t="n"/>
      <c r="C434" s="20" t="n"/>
      <c r="D434" s="20" t="n"/>
      <c r="E434" s="20" t="n"/>
      <c r="F434" s="21" t="n"/>
      <c r="G434" s="21" t="n"/>
      <c r="H434" s="20" t="n"/>
      <c r="I434" s="22" t="n"/>
      <c r="J434" s="19">
        <f>IF(OR(F434="",G434=""),"",MAX(0,G434-F434))</f>
        <v/>
      </c>
      <c r="K434" s="23">
        <f>IF(OR(I434="",J434=""),"",I434*J434)</f>
        <v/>
      </c>
      <c r="L434" s="22" t="n"/>
      <c r="M434" s="23">
        <f>IF(K434="","",MAX(0,K434-IF(L434="",0,L434)))</f>
        <v/>
      </c>
      <c r="N434" s="20" t="n"/>
      <c r="O434" s="20" t="n"/>
      <c r="P434" s="20" t="n"/>
      <c r="Q434" s="20" t="n"/>
      <c r="R434" s="20" t="n"/>
      <c r="S434" s="19">
        <f>IF(A434="","",IF(COUNTIF('Email Log'!B:B,A434)&gt;0,"YES","NO"))</f>
        <v/>
      </c>
    </row>
    <row r="435">
      <c r="A435" s="20" t="n"/>
      <c r="B435" s="20" t="n"/>
      <c r="C435" s="20" t="n"/>
      <c r="D435" s="20" t="n"/>
      <c r="E435" s="20" t="n"/>
      <c r="F435" s="21" t="n"/>
      <c r="G435" s="21" t="n"/>
      <c r="H435" s="20" t="n"/>
      <c r="I435" s="22" t="n"/>
      <c r="J435" s="19">
        <f>IF(OR(F435="",G435=""),"",MAX(0,G435-F435))</f>
        <v/>
      </c>
      <c r="K435" s="23">
        <f>IF(OR(I435="",J435=""),"",I435*J435)</f>
        <v/>
      </c>
      <c r="L435" s="22" t="n"/>
      <c r="M435" s="23">
        <f>IF(K435="","",MAX(0,K435-IF(L435="",0,L435)))</f>
        <v/>
      </c>
      <c r="N435" s="20" t="n"/>
      <c r="O435" s="20" t="n"/>
      <c r="P435" s="20" t="n"/>
      <c r="Q435" s="20" t="n"/>
      <c r="R435" s="20" t="n"/>
      <c r="S435" s="19">
        <f>IF(A435="","",IF(COUNTIF('Email Log'!B:B,A435)&gt;0,"YES","NO"))</f>
        <v/>
      </c>
    </row>
    <row r="436">
      <c r="A436" s="20" t="n"/>
      <c r="B436" s="20" t="n"/>
      <c r="C436" s="20" t="n"/>
      <c r="D436" s="20" t="n"/>
      <c r="E436" s="20" t="n"/>
      <c r="F436" s="21" t="n"/>
      <c r="G436" s="21" t="n"/>
      <c r="H436" s="20" t="n"/>
      <c r="I436" s="22" t="n"/>
      <c r="J436" s="19">
        <f>IF(OR(F436="",G436=""),"",MAX(0,G436-F436))</f>
        <v/>
      </c>
      <c r="K436" s="23">
        <f>IF(OR(I436="",J436=""),"",I436*J436)</f>
        <v/>
      </c>
      <c r="L436" s="22" t="n"/>
      <c r="M436" s="23">
        <f>IF(K436="","",MAX(0,K436-IF(L436="",0,L436)))</f>
        <v/>
      </c>
      <c r="N436" s="20" t="n"/>
      <c r="O436" s="20" t="n"/>
      <c r="P436" s="20" t="n"/>
      <c r="Q436" s="20" t="n"/>
      <c r="R436" s="20" t="n"/>
      <c r="S436" s="19">
        <f>IF(A436="","",IF(COUNTIF('Email Log'!B:B,A436)&gt;0,"YES","NO"))</f>
        <v/>
      </c>
    </row>
    <row r="437">
      <c r="A437" s="20" t="n"/>
      <c r="B437" s="20" t="n"/>
      <c r="C437" s="20" t="n"/>
      <c r="D437" s="20" t="n"/>
      <c r="E437" s="20" t="n"/>
      <c r="F437" s="21" t="n"/>
      <c r="G437" s="21" t="n"/>
      <c r="H437" s="20" t="n"/>
      <c r="I437" s="22" t="n"/>
      <c r="J437" s="19">
        <f>IF(OR(F437="",G437=""),"",MAX(0,G437-F437))</f>
        <v/>
      </c>
      <c r="K437" s="23">
        <f>IF(OR(I437="",J437=""),"",I437*J437)</f>
        <v/>
      </c>
      <c r="L437" s="22" t="n"/>
      <c r="M437" s="23">
        <f>IF(K437="","",MAX(0,K437-IF(L437="",0,L437)))</f>
        <v/>
      </c>
      <c r="N437" s="20" t="n"/>
      <c r="O437" s="20" t="n"/>
      <c r="P437" s="20" t="n"/>
      <c r="Q437" s="20" t="n"/>
      <c r="R437" s="20" t="n"/>
      <c r="S437" s="19">
        <f>IF(A437="","",IF(COUNTIF('Email Log'!B:B,A437)&gt;0,"YES","NO"))</f>
        <v/>
      </c>
    </row>
    <row r="438">
      <c r="A438" s="20" t="n"/>
      <c r="B438" s="20" t="n"/>
      <c r="C438" s="20" t="n"/>
      <c r="D438" s="20" t="n"/>
      <c r="E438" s="20" t="n"/>
      <c r="F438" s="21" t="n"/>
      <c r="G438" s="21" t="n"/>
      <c r="H438" s="20" t="n"/>
      <c r="I438" s="22" t="n"/>
      <c r="J438" s="19">
        <f>IF(OR(F438="",G438=""),"",MAX(0,G438-F438))</f>
        <v/>
      </c>
      <c r="K438" s="23">
        <f>IF(OR(I438="",J438=""),"",I438*J438)</f>
        <v/>
      </c>
      <c r="L438" s="22" t="n"/>
      <c r="M438" s="23">
        <f>IF(K438="","",MAX(0,K438-IF(L438="",0,L438)))</f>
        <v/>
      </c>
      <c r="N438" s="20" t="n"/>
      <c r="O438" s="20" t="n"/>
      <c r="P438" s="20" t="n"/>
      <c r="Q438" s="20" t="n"/>
      <c r="R438" s="20" t="n"/>
      <c r="S438" s="19">
        <f>IF(A438="","",IF(COUNTIF('Email Log'!B:B,A438)&gt;0,"YES","NO"))</f>
        <v/>
      </c>
    </row>
    <row r="439">
      <c r="A439" s="20" t="n"/>
      <c r="B439" s="20" t="n"/>
      <c r="C439" s="20" t="n"/>
      <c r="D439" s="20" t="n"/>
      <c r="E439" s="20" t="n"/>
      <c r="F439" s="21" t="n"/>
      <c r="G439" s="21" t="n"/>
      <c r="H439" s="20" t="n"/>
      <c r="I439" s="22" t="n"/>
      <c r="J439" s="19">
        <f>IF(OR(F439="",G439=""),"",MAX(0,G439-F439))</f>
        <v/>
      </c>
      <c r="K439" s="23">
        <f>IF(OR(I439="",J439=""),"",I439*J439)</f>
        <v/>
      </c>
      <c r="L439" s="22" t="n"/>
      <c r="M439" s="23">
        <f>IF(K439="","",MAX(0,K439-IF(L439="",0,L439)))</f>
        <v/>
      </c>
      <c r="N439" s="20" t="n"/>
      <c r="O439" s="20" t="n"/>
      <c r="P439" s="20" t="n"/>
      <c r="Q439" s="20" t="n"/>
      <c r="R439" s="20" t="n"/>
      <c r="S439" s="19">
        <f>IF(A439="","",IF(COUNTIF('Email Log'!B:B,A439)&gt;0,"YES","NO"))</f>
        <v/>
      </c>
    </row>
    <row r="440">
      <c r="A440" s="20" t="n"/>
      <c r="B440" s="20" t="n"/>
      <c r="C440" s="20" t="n"/>
      <c r="D440" s="20" t="n"/>
      <c r="E440" s="20" t="n"/>
      <c r="F440" s="21" t="n"/>
      <c r="G440" s="21" t="n"/>
      <c r="H440" s="20" t="n"/>
      <c r="I440" s="22" t="n"/>
      <c r="J440" s="19">
        <f>IF(OR(F440="",G440=""),"",MAX(0,G440-F440))</f>
        <v/>
      </c>
      <c r="K440" s="23">
        <f>IF(OR(I440="",J440=""),"",I440*J440)</f>
        <v/>
      </c>
      <c r="L440" s="22" t="n"/>
      <c r="M440" s="23">
        <f>IF(K440="","",MAX(0,K440-IF(L440="",0,L440)))</f>
        <v/>
      </c>
      <c r="N440" s="20" t="n"/>
      <c r="O440" s="20" t="n"/>
      <c r="P440" s="20" t="n"/>
      <c r="Q440" s="20" t="n"/>
      <c r="R440" s="20" t="n"/>
      <c r="S440" s="19">
        <f>IF(A440="","",IF(COUNTIF('Email Log'!B:B,A440)&gt;0,"YES","NO"))</f>
        <v/>
      </c>
    </row>
    <row r="441">
      <c r="A441" s="20" t="n"/>
      <c r="B441" s="20" t="n"/>
      <c r="C441" s="20" t="n"/>
      <c r="D441" s="20" t="n"/>
      <c r="E441" s="20" t="n"/>
      <c r="F441" s="21" t="n"/>
      <c r="G441" s="21" t="n"/>
      <c r="H441" s="20" t="n"/>
      <c r="I441" s="22" t="n"/>
      <c r="J441" s="19">
        <f>IF(OR(F441="",G441=""),"",MAX(0,G441-F441))</f>
        <v/>
      </c>
      <c r="K441" s="23">
        <f>IF(OR(I441="",J441=""),"",I441*J441)</f>
        <v/>
      </c>
      <c r="L441" s="22" t="n"/>
      <c r="M441" s="23">
        <f>IF(K441="","",MAX(0,K441-IF(L441="",0,L441)))</f>
        <v/>
      </c>
      <c r="N441" s="20" t="n"/>
      <c r="O441" s="20" t="n"/>
      <c r="P441" s="20" t="n"/>
      <c r="Q441" s="20" t="n"/>
      <c r="R441" s="20" t="n"/>
      <c r="S441" s="19">
        <f>IF(A441="","",IF(COUNTIF('Email Log'!B:B,A441)&gt;0,"YES","NO"))</f>
        <v/>
      </c>
    </row>
    <row r="442">
      <c r="A442" s="20" t="n"/>
      <c r="B442" s="20" t="n"/>
      <c r="C442" s="20" t="n"/>
      <c r="D442" s="20" t="n"/>
      <c r="E442" s="20" t="n"/>
      <c r="F442" s="21" t="n"/>
      <c r="G442" s="21" t="n"/>
      <c r="H442" s="20" t="n"/>
      <c r="I442" s="22" t="n"/>
      <c r="J442" s="19">
        <f>IF(OR(F442="",G442=""),"",MAX(0,G442-F442))</f>
        <v/>
      </c>
      <c r="K442" s="23">
        <f>IF(OR(I442="",J442=""),"",I442*J442)</f>
        <v/>
      </c>
      <c r="L442" s="22" t="n"/>
      <c r="M442" s="23">
        <f>IF(K442="","",MAX(0,K442-IF(L442="",0,L442)))</f>
        <v/>
      </c>
      <c r="N442" s="20" t="n"/>
      <c r="O442" s="20" t="n"/>
      <c r="P442" s="20" t="n"/>
      <c r="Q442" s="20" t="n"/>
      <c r="R442" s="20" t="n"/>
      <c r="S442" s="19">
        <f>IF(A442="","",IF(COUNTIF('Email Log'!B:B,A442)&gt;0,"YES","NO"))</f>
        <v/>
      </c>
    </row>
    <row r="443">
      <c r="A443" s="20" t="n"/>
      <c r="B443" s="20" t="n"/>
      <c r="C443" s="20" t="n"/>
      <c r="D443" s="20" t="n"/>
      <c r="E443" s="20" t="n"/>
      <c r="F443" s="21" t="n"/>
      <c r="G443" s="21" t="n"/>
      <c r="H443" s="20" t="n"/>
      <c r="I443" s="22" t="n"/>
      <c r="J443" s="19">
        <f>IF(OR(F443="",G443=""),"",MAX(0,G443-F443))</f>
        <v/>
      </c>
      <c r="K443" s="23">
        <f>IF(OR(I443="",J443=""),"",I443*J443)</f>
        <v/>
      </c>
      <c r="L443" s="22" t="n"/>
      <c r="M443" s="23">
        <f>IF(K443="","",MAX(0,K443-IF(L443="",0,L443)))</f>
        <v/>
      </c>
      <c r="N443" s="20" t="n"/>
      <c r="O443" s="20" t="n"/>
      <c r="P443" s="20" t="n"/>
      <c r="Q443" s="20" t="n"/>
      <c r="R443" s="20" t="n"/>
      <c r="S443" s="19">
        <f>IF(A443="","",IF(COUNTIF('Email Log'!B:B,A443)&gt;0,"YES","NO"))</f>
        <v/>
      </c>
    </row>
    <row r="444">
      <c r="A444" s="20" t="n"/>
      <c r="B444" s="20" t="n"/>
      <c r="C444" s="20" t="n"/>
      <c r="D444" s="20" t="n"/>
      <c r="E444" s="20" t="n"/>
      <c r="F444" s="21" t="n"/>
      <c r="G444" s="21" t="n"/>
      <c r="H444" s="20" t="n"/>
      <c r="I444" s="22" t="n"/>
      <c r="J444" s="19">
        <f>IF(OR(F444="",G444=""),"",MAX(0,G444-F444))</f>
        <v/>
      </c>
      <c r="K444" s="23">
        <f>IF(OR(I444="",J444=""),"",I444*J444)</f>
        <v/>
      </c>
      <c r="L444" s="22" t="n"/>
      <c r="M444" s="23">
        <f>IF(K444="","",MAX(0,K444-IF(L444="",0,L444)))</f>
        <v/>
      </c>
      <c r="N444" s="20" t="n"/>
      <c r="O444" s="20" t="n"/>
      <c r="P444" s="20" t="n"/>
      <c r="Q444" s="20" t="n"/>
      <c r="R444" s="20" t="n"/>
      <c r="S444" s="19">
        <f>IF(A444="","",IF(COUNTIF('Email Log'!B:B,A444)&gt;0,"YES","NO"))</f>
        <v/>
      </c>
    </row>
    <row r="445">
      <c r="A445" s="20" t="n"/>
      <c r="B445" s="20" t="n"/>
      <c r="C445" s="20" t="n"/>
      <c r="D445" s="20" t="n"/>
      <c r="E445" s="20" t="n"/>
      <c r="F445" s="21" t="n"/>
      <c r="G445" s="21" t="n"/>
      <c r="H445" s="20" t="n"/>
      <c r="I445" s="22" t="n"/>
      <c r="J445" s="19">
        <f>IF(OR(F445="",G445=""),"",MAX(0,G445-F445))</f>
        <v/>
      </c>
      <c r="K445" s="23">
        <f>IF(OR(I445="",J445=""),"",I445*J445)</f>
        <v/>
      </c>
      <c r="L445" s="22" t="n"/>
      <c r="M445" s="23">
        <f>IF(K445="","",MAX(0,K445-IF(L445="",0,L445)))</f>
        <v/>
      </c>
      <c r="N445" s="20" t="n"/>
      <c r="O445" s="20" t="n"/>
      <c r="P445" s="20" t="n"/>
      <c r="Q445" s="20" t="n"/>
      <c r="R445" s="20" t="n"/>
      <c r="S445" s="19">
        <f>IF(A445="","",IF(COUNTIF('Email Log'!B:B,A445)&gt;0,"YES","NO"))</f>
        <v/>
      </c>
    </row>
    <row r="446">
      <c r="A446" s="20" t="n"/>
      <c r="B446" s="20" t="n"/>
      <c r="C446" s="20" t="n"/>
      <c r="D446" s="20" t="n"/>
      <c r="E446" s="20" t="n"/>
      <c r="F446" s="21" t="n"/>
      <c r="G446" s="21" t="n"/>
      <c r="H446" s="20" t="n"/>
      <c r="I446" s="22" t="n"/>
      <c r="J446" s="19">
        <f>IF(OR(F446="",G446=""),"",MAX(0,G446-F446))</f>
        <v/>
      </c>
      <c r="K446" s="23">
        <f>IF(OR(I446="",J446=""),"",I446*J446)</f>
        <v/>
      </c>
      <c r="L446" s="22" t="n"/>
      <c r="M446" s="23">
        <f>IF(K446="","",MAX(0,K446-IF(L446="",0,L446)))</f>
        <v/>
      </c>
      <c r="N446" s="20" t="n"/>
      <c r="O446" s="20" t="n"/>
      <c r="P446" s="20" t="n"/>
      <c r="Q446" s="20" t="n"/>
      <c r="R446" s="20" t="n"/>
      <c r="S446" s="19">
        <f>IF(A446="","",IF(COUNTIF('Email Log'!B:B,A446)&gt;0,"YES","NO"))</f>
        <v/>
      </c>
    </row>
    <row r="447">
      <c r="A447" s="20" t="n"/>
      <c r="B447" s="20" t="n"/>
      <c r="C447" s="20" t="n"/>
      <c r="D447" s="20" t="n"/>
      <c r="E447" s="20" t="n"/>
      <c r="F447" s="21" t="n"/>
      <c r="G447" s="21" t="n"/>
      <c r="H447" s="20" t="n"/>
      <c r="I447" s="22" t="n"/>
      <c r="J447" s="19">
        <f>IF(OR(F447="",G447=""),"",MAX(0,G447-F447))</f>
        <v/>
      </c>
      <c r="K447" s="23">
        <f>IF(OR(I447="",J447=""),"",I447*J447)</f>
        <v/>
      </c>
      <c r="L447" s="22" t="n"/>
      <c r="M447" s="23">
        <f>IF(K447="","",MAX(0,K447-IF(L447="",0,L447)))</f>
        <v/>
      </c>
      <c r="N447" s="20" t="n"/>
      <c r="O447" s="20" t="n"/>
      <c r="P447" s="20" t="n"/>
      <c r="Q447" s="20" t="n"/>
      <c r="R447" s="20" t="n"/>
      <c r="S447" s="19">
        <f>IF(A447="","",IF(COUNTIF('Email Log'!B:B,A447)&gt;0,"YES","NO"))</f>
        <v/>
      </c>
    </row>
    <row r="448">
      <c r="A448" s="20" t="n"/>
      <c r="B448" s="20" t="n"/>
      <c r="C448" s="20" t="n"/>
      <c r="D448" s="20" t="n"/>
      <c r="E448" s="20" t="n"/>
      <c r="F448" s="21" t="n"/>
      <c r="G448" s="21" t="n"/>
      <c r="H448" s="20" t="n"/>
      <c r="I448" s="22" t="n"/>
      <c r="J448" s="19">
        <f>IF(OR(F448="",G448=""),"",MAX(0,G448-F448))</f>
        <v/>
      </c>
      <c r="K448" s="23">
        <f>IF(OR(I448="",J448=""),"",I448*J448)</f>
        <v/>
      </c>
      <c r="L448" s="22" t="n"/>
      <c r="M448" s="23">
        <f>IF(K448="","",MAX(0,K448-IF(L448="",0,L448)))</f>
        <v/>
      </c>
      <c r="N448" s="20" t="n"/>
      <c r="O448" s="20" t="n"/>
      <c r="P448" s="20" t="n"/>
      <c r="Q448" s="20" t="n"/>
      <c r="R448" s="20" t="n"/>
      <c r="S448" s="19">
        <f>IF(A448="","",IF(COUNTIF('Email Log'!B:B,A448)&gt;0,"YES","NO"))</f>
        <v/>
      </c>
    </row>
    <row r="449">
      <c r="A449" s="20" t="n"/>
      <c r="B449" s="20" t="n"/>
      <c r="C449" s="20" t="n"/>
      <c r="D449" s="20" t="n"/>
      <c r="E449" s="20" t="n"/>
      <c r="F449" s="21" t="n"/>
      <c r="G449" s="21" t="n"/>
      <c r="H449" s="20" t="n"/>
      <c r="I449" s="22" t="n"/>
      <c r="J449" s="19">
        <f>IF(OR(F449="",G449=""),"",MAX(0,G449-F449))</f>
        <v/>
      </c>
      <c r="K449" s="23">
        <f>IF(OR(I449="",J449=""),"",I449*J449)</f>
        <v/>
      </c>
      <c r="L449" s="22" t="n"/>
      <c r="M449" s="23">
        <f>IF(K449="","",MAX(0,K449-IF(L449="",0,L449)))</f>
        <v/>
      </c>
      <c r="N449" s="20" t="n"/>
      <c r="O449" s="20" t="n"/>
      <c r="P449" s="20" t="n"/>
      <c r="Q449" s="20" t="n"/>
      <c r="R449" s="20" t="n"/>
      <c r="S449" s="19">
        <f>IF(A449="","",IF(COUNTIF('Email Log'!B:B,A449)&gt;0,"YES","NO"))</f>
        <v/>
      </c>
    </row>
    <row r="450">
      <c r="A450" s="20" t="n"/>
      <c r="B450" s="20" t="n"/>
      <c r="C450" s="20" t="n"/>
      <c r="D450" s="20" t="n"/>
      <c r="E450" s="20" t="n"/>
      <c r="F450" s="21" t="n"/>
      <c r="G450" s="21" t="n"/>
      <c r="H450" s="20" t="n"/>
      <c r="I450" s="22" t="n"/>
      <c r="J450" s="19">
        <f>IF(OR(F450="",G450=""),"",MAX(0,G450-F450))</f>
        <v/>
      </c>
      <c r="K450" s="23">
        <f>IF(OR(I450="",J450=""),"",I450*J450)</f>
        <v/>
      </c>
      <c r="L450" s="22" t="n"/>
      <c r="M450" s="23">
        <f>IF(K450="","",MAX(0,K450-IF(L450="",0,L450)))</f>
        <v/>
      </c>
      <c r="N450" s="20" t="n"/>
      <c r="O450" s="20" t="n"/>
      <c r="P450" s="20" t="n"/>
      <c r="Q450" s="20" t="n"/>
      <c r="R450" s="20" t="n"/>
      <c r="S450" s="19">
        <f>IF(A450="","",IF(COUNTIF('Email Log'!B:B,A450)&gt;0,"YES","NO"))</f>
        <v/>
      </c>
    </row>
    <row r="451">
      <c r="A451" s="20" t="n"/>
      <c r="B451" s="20" t="n"/>
      <c r="C451" s="20" t="n"/>
      <c r="D451" s="20" t="n"/>
      <c r="E451" s="20" t="n"/>
      <c r="F451" s="21" t="n"/>
      <c r="G451" s="21" t="n"/>
      <c r="H451" s="20" t="n"/>
      <c r="I451" s="22" t="n"/>
      <c r="J451" s="19">
        <f>IF(OR(F451="",G451=""),"",MAX(0,G451-F451))</f>
        <v/>
      </c>
      <c r="K451" s="23">
        <f>IF(OR(I451="",J451=""),"",I451*J451)</f>
        <v/>
      </c>
      <c r="L451" s="22" t="n"/>
      <c r="M451" s="23">
        <f>IF(K451="","",MAX(0,K451-IF(L451="",0,L451)))</f>
        <v/>
      </c>
      <c r="N451" s="20" t="n"/>
      <c r="O451" s="20" t="n"/>
      <c r="P451" s="20" t="n"/>
      <c r="Q451" s="20" t="n"/>
      <c r="R451" s="20" t="n"/>
      <c r="S451" s="19">
        <f>IF(A451="","",IF(COUNTIF('Email Log'!B:B,A451)&gt;0,"YES","NO"))</f>
        <v/>
      </c>
    </row>
    <row r="452">
      <c r="A452" s="20" t="n"/>
      <c r="B452" s="20" t="n"/>
      <c r="C452" s="20" t="n"/>
      <c r="D452" s="20" t="n"/>
      <c r="E452" s="20" t="n"/>
      <c r="F452" s="21" t="n"/>
      <c r="G452" s="21" t="n"/>
      <c r="H452" s="20" t="n"/>
      <c r="I452" s="22" t="n"/>
      <c r="J452" s="19">
        <f>IF(OR(F452="",G452=""),"",MAX(0,G452-F452))</f>
        <v/>
      </c>
      <c r="K452" s="23">
        <f>IF(OR(I452="",J452=""),"",I452*J452)</f>
        <v/>
      </c>
      <c r="L452" s="22" t="n"/>
      <c r="M452" s="23">
        <f>IF(K452="","",MAX(0,K452-IF(L452="",0,L452)))</f>
        <v/>
      </c>
      <c r="N452" s="20" t="n"/>
      <c r="O452" s="20" t="n"/>
      <c r="P452" s="20" t="n"/>
      <c r="Q452" s="20" t="n"/>
      <c r="R452" s="20" t="n"/>
      <c r="S452" s="19">
        <f>IF(A452="","",IF(COUNTIF('Email Log'!B:B,A452)&gt;0,"YES","NO"))</f>
        <v/>
      </c>
    </row>
    <row r="453">
      <c r="A453" s="20" t="n"/>
      <c r="B453" s="20" t="n"/>
      <c r="C453" s="20" t="n"/>
      <c r="D453" s="20" t="n"/>
      <c r="E453" s="20" t="n"/>
      <c r="F453" s="21" t="n"/>
      <c r="G453" s="21" t="n"/>
      <c r="H453" s="20" t="n"/>
      <c r="I453" s="22" t="n"/>
      <c r="J453" s="19">
        <f>IF(OR(F453="",G453=""),"",MAX(0,G453-F453))</f>
        <v/>
      </c>
      <c r="K453" s="23">
        <f>IF(OR(I453="",J453=""),"",I453*J453)</f>
        <v/>
      </c>
      <c r="L453" s="22" t="n"/>
      <c r="M453" s="23">
        <f>IF(K453="","",MAX(0,K453-IF(L453="",0,L453)))</f>
        <v/>
      </c>
      <c r="N453" s="20" t="n"/>
      <c r="O453" s="20" t="n"/>
      <c r="P453" s="20" t="n"/>
      <c r="Q453" s="20" t="n"/>
      <c r="R453" s="20" t="n"/>
      <c r="S453" s="19">
        <f>IF(A453="","",IF(COUNTIF('Email Log'!B:B,A453)&gt;0,"YES","NO"))</f>
        <v/>
      </c>
    </row>
    <row r="454">
      <c r="A454" s="20" t="n"/>
      <c r="B454" s="20" t="n"/>
      <c r="C454" s="20" t="n"/>
      <c r="D454" s="20" t="n"/>
      <c r="E454" s="20" t="n"/>
      <c r="F454" s="21" t="n"/>
      <c r="G454" s="21" t="n"/>
      <c r="H454" s="20" t="n"/>
      <c r="I454" s="22" t="n"/>
      <c r="J454" s="19">
        <f>IF(OR(F454="",G454=""),"",MAX(0,G454-F454))</f>
        <v/>
      </c>
      <c r="K454" s="23">
        <f>IF(OR(I454="",J454=""),"",I454*J454)</f>
        <v/>
      </c>
      <c r="L454" s="22" t="n"/>
      <c r="M454" s="23">
        <f>IF(K454="","",MAX(0,K454-IF(L454="",0,L454)))</f>
        <v/>
      </c>
      <c r="N454" s="20" t="n"/>
      <c r="O454" s="20" t="n"/>
      <c r="P454" s="20" t="n"/>
      <c r="Q454" s="20" t="n"/>
      <c r="R454" s="20" t="n"/>
      <c r="S454" s="19">
        <f>IF(A454="","",IF(COUNTIF('Email Log'!B:B,A454)&gt;0,"YES","NO"))</f>
        <v/>
      </c>
    </row>
    <row r="455">
      <c r="A455" s="20" t="n"/>
      <c r="B455" s="20" t="n"/>
      <c r="C455" s="20" t="n"/>
      <c r="D455" s="20" t="n"/>
      <c r="E455" s="20" t="n"/>
      <c r="F455" s="21" t="n"/>
      <c r="G455" s="21" t="n"/>
      <c r="H455" s="20" t="n"/>
      <c r="I455" s="22" t="n"/>
      <c r="J455" s="19">
        <f>IF(OR(F455="",G455=""),"",MAX(0,G455-F455))</f>
        <v/>
      </c>
      <c r="K455" s="23">
        <f>IF(OR(I455="",J455=""),"",I455*J455)</f>
        <v/>
      </c>
      <c r="L455" s="22" t="n"/>
      <c r="M455" s="23">
        <f>IF(K455="","",MAX(0,K455-IF(L455="",0,L455)))</f>
        <v/>
      </c>
      <c r="N455" s="20" t="n"/>
      <c r="O455" s="20" t="n"/>
      <c r="P455" s="20" t="n"/>
      <c r="Q455" s="20" t="n"/>
      <c r="R455" s="20" t="n"/>
      <c r="S455" s="19">
        <f>IF(A455="","",IF(COUNTIF('Email Log'!B:B,A455)&gt;0,"YES","NO"))</f>
        <v/>
      </c>
    </row>
    <row r="456">
      <c r="A456" s="20" t="n"/>
      <c r="B456" s="20" t="n"/>
      <c r="C456" s="20" t="n"/>
      <c r="D456" s="20" t="n"/>
      <c r="E456" s="20" t="n"/>
      <c r="F456" s="21" t="n"/>
      <c r="G456" s="21" t="n"/>
      <c r="H456" s="20" t="n"/>
      <c r="I456" s="22" t="n"/>
      <c r="J456" s="19">
        <f>IF(OR(F456="",G456=""),"",MAX(0,G456-F456))</f>
        <v/>
      </c>
      <c r="K456" s="23">
        <f>IF(OR(I456="",J456=""),"",I456*J456)</f>
        <v/>
      </c>
      <c r="L456" s="22" t="n"/>
      <c r="M456" s="23">
        <f>IF(K456="","",MAX(0,K456-IF(L456="",0,L456)))</f>
        <v/>
      </c>
      <c r="N456" s="20" t="n"/>
      <c r="O456" s="20" t="n"/>
      <c r="P456" s="20" t="n"/>
      <c r="Q456" s="20" t="n"/>
      <c r="R456" s="20" t="n"/>
      <c r="S456" s="19">
        <f>IF(A456="","",IF(COUNTIF('Email Log'!B:B,A456)&gt;0,"YES","NO"))</f>
        <v/>
      </c>
    </row>
    <row r="457">
      <c r="A457" s="20" t="n"/>
      <c r="B457" s="20" t="n"/>
      <c r="C457" s="20" t="n"/>
      <c r="D457" s="20" t="n"/>
      <c r="E457" s="20" t="n"/>
      <c r="F457" s="21" t="n"/>
      <c r="G457" s="21" t="n"/>
      <c r="H457" s="20" t="n"/>
      <c r="I457" s="22" t="n"/>
      <c r="J457" s="19">
        <f>IF(OR(F457="",G457=""),"",MAX(0,G457-F457))</f>
        <v/>
      </c>
      <c r="K457" s="23">
        <f>IF(OR(I457="",J457=""),"",I457*J457)</f>
        <v/>
      </c>
      <c r="L457" s="22" t="n"/>
      <c r="M457" s="23">
        <f>IF(K457="","",MAX(0,K457-IF(L457="",0,L457)))</f>
        <v/>
      </c>
      <c r="N457" s="20" t="n"/>
      <c r="O457" s="20" t="n"/>
      <c r="P457" s="20" t="n"/>
      <c r="Q457" s="20" t="n"/>
      <c r="R457" s="20" t="n"/>
      <c r="S457" s="19">
        <f>IF(A457="","",IF(COUNTIF('Email Log'!B:B,A457)&gt;0,"YES","NO"))</f>
        <v/>
      </c>
    </row>
    <row r="458">
      <c r="A458" s="20" t="n"/>
      <c r="B458" s="20" t="n"/>
      <c r="C458" s="20" t="n"/>
      <c r="D458" s="20" t="n"/>
      <c r="E458" s="20" t="n"/>
      <c r="F458" s="21" t="n"/>
      <c r="G458" s="21" t="n"/>
      <c r="H458" s="20" t="n"/>
      <c r="I458" s="22" t="n"/>
      <c r="J458" s="19">
        <f>IF(OR(F458="",G458=""),"",MAX(0,G458-F458))</f>
        <v/>
      </c>
      <c r="K458" s="23">
        <f>IF(OR(I458="",J458=""),"",I458*J458)</f>
        <v/>
      </c>
      <c r="L458" s="22" t="n"/>
      <c r="M458" s="23">
        <f>IF(K458="","",MAX(0,K458-IF(L458="",0,L458)))</f>
        <v/>
      </c>
      <c r="N458" s="20" t="n"/>
      <c r="O458" s="20" t="n"/>
      <c r="P458" s="20" t="n"/>
      <c r="Q458" s="20" t="n"/>
      <c r="R458" s="20" t="n"/>
      <c r="S458" s="19">
        <f>IF(A458="","",IF(COUNTIF('Email Log'!B:B,A458)&gt;0,"YES","NO"))</f>
        <v/>
      </c>
    </row>
    <row r="459">
      <c r="A459" s="20" t="n"/>
      <c r="B459" s="20" t="n"/>
      <c r="C459" s="20" t="n"/>
      <c r="D459" s="20" t="n"/>
      <c r="E459" s="20" t="n"/>
      <c r="F459" s="21" t="n"/>
      <c r="G459" s="21" t="n"/>
      <c r="H459" s="20" t="n"/>
      <c r="I459" s="22" t="n"/>
      <c r="J459" s="19">
        <f>IF(OR(F459="",G459=""),"",MAX(0,G459-F459))</f>
        <v/>
      </c>
      <c r="K459" s="23">
        <f>IF(OR(I459="",J459=""),"",I459*J459)</f>
        <v/>
      </c>
      <c r="L459" s="22" t="n"/>
      <c r="M459" s="23">
        <f>IF(K459="","",MAX(0,K459-IF(L459="",0,L459)))</f>
        <v/>
      </c>
      <c r="N459" s="20" t="n"/>
      <c r="O459" s="20" t="n"/>
      <c r="P459" s="20" t="n"/>
      <c r="Q459" s="20" t="n"/>
      <c r="R459" s="20" t="n"/>
      <c r="S459" s="19">
        <f>IF(A459="","",IF(COUNTIF('Email Log'!B:B,A459)&gt;0,"YES","NO"))</f>
        <v/>
      </c>
    </row>
    <row r="460">
      <c r="A460" s="20" t="n"/>
      <c r="B460" s="20" t="n"/>
      <c r="C460" s="20" t="n"/>
      <c r="D460" s="20" t="n"/>
      <c r="E460" s="20" t="n"/>
      <c r="F460" s="21" t="n"/>
      <c r="G460" s="21" t="n"/>
      <c r="H460" s="20" t="n"/>
      <c r="I460" s="22" t="n"/>
      <c r="J460" s="19">
        <f>IF(OR(F460="",G460=""),"",MAX(0,G460-F460))</f>
        <v/>
      </c>
      <c r="K460" s="23">
        <f>IF(OR(I460="",J460=""),"",I460*J460)</f>
        <v/>
      </c>
      <c r="L460" s="22" t="n"/>
      <c r="M460" s="23">
        <f>IF(K460="","",MAX(0,K460-IF(L460="",0,L460)))</f>
        <v/>
      </c>
      <c r="N460" s="20" t="n"/>
      <c r="O460" s="20" t="n"/>
      <c r="P460" s="20" t="n"/>
      <c r="Q460" s="20" t="n"/>
      <c r="R460" s="20" t="n"/>
      <c r="S460" s="19">
        <f>IF(A460="","",IF(COUNTIF('Email Log'!B:B,A460)&gt;0,"YES","NO"))</f>
        <v/>
      </c>
    </row>
    <row r="461">
      <c r="A461" s="20" t="n"/>
      <c r="B461" s="20" t="n"/>
      <c r="C461" s="20" t="n"/>
      <c r="D461" s="20" t="n"/>
      <c r="E461" s="20" t="n"/>
      <c r="F461" s="21" t="n"/>
      <c r="G461" s="21" t="n"/>
      <c r="H461" s="20" t="n"/>
      <c r="I461" s="22" t="n"/>
      <c r="J461" s="19">
        <f>IF(OR(F461="",G461=""),"",MAX(0,G461-F461))</f>
        <v/>
      </c>
      <c r="K461" s="23">
        <f>IF(OR(I461="",J461=""),"",I461*J461)</f>
        <v/>
      </c>
      <c r="L461" s="22" t="n"/>
      <c r="M461" s="23">
        <f>IF(K461="","",MAX(0,K461-IF(L461="",0,L461)))</f>
        <v/>
      </c>
      <c r="N461" s="20" t="n"/>
      <c r="O461" s="20" t="n"/>
      <c r="P461" s="20" t="n"/>
      <c r="Q461" s="20" t="n"/>
      <c r="R461" s="20" t="n"/>
      <c r="S461" s="19">
        <f>IF(A461="","",IF(COUNTIF('Email Log'!B:B,A461)&gt;0,"YES","NO"))</f>
        <v/>
      </c>
    </row>
    <row r="462">
      <c r="A462" s="20" t="n"/>
      <c r="B462" s="20" t="n"/>
      <c r="C462" s="20" t="n"/>
      <c r="D462" s="20" t="n"/>
      <c r="E462" s="20" t="n"/>
      <c r="F462" s="21" t="n"/>
      <c r="G462" s="21" t="n"/>
      <c r="H462" s="20" t="n"/>
      <c r="I462" s="22" t="n"/>
      <c r="J462" s="19">
        <f>IF(OR(F462="",G462=""),"",MAX(0,G462-F462))</f>
        <v/>
      </c>
      <c r="K462" s="23">
        <f>IF(OR(I462="",J462=""),"",I462*J462)</f>
        <v/>
      </c>
      <c r="L462" s="22" t="n"/>
      <c r="M462" s="23">
        <f>IF(K462="","",MAX(0,K462-IF(L462="",0,L462)))</f>
        <v/>
      </c>
      <c r="N462" s="20" t="n"/>
      <c r="O462" s="20" t="n"/>
      <c r="P462" s="20" t="n"/>
      <c r="Q462" s="20" t="n"/>
      <c r="R462" s="20" t="n"/>
      <c r="S462" s="19">
        <f>IF(A462="","",IF(COUNTIF('Email Log'!B:B,A462)&gt;0,"YES","NO"))</f>
        <v/>
      </c>
    </row>
    <row r="463">
      <c r="A463" s="20" t="n"/>
      <c r="B463" s="20" t="n"/>
      <c r="C463" s="20" t="n"/>
      <c r="D463" s="20" t="n"/>
      <c r="E463" s="20" t="n"/>
      <c r="F463" s="21" t="n"/>
      <c r="G463" s="21" t="n"/>
      <c r="H463" s="20" t="n"/>
      <c r="I463" s="22" t="n"/>
      <c r="J463" s="19">
        <f>IF(OR(F463="",G463=""),"",MAX(0,G463-F463))</f>
        <v/>
      </c>
      <c r="K463" s="23">
        <f>IF(OR(I463="",J463=""),"",I463*J463)</f>
        <v/>
      </c>
      <c r="L463" s="22" t="n"/>
      <c r="M463" s="23">
        <f>IF(K463="","",MAX(0,K463-IF(L463="",0,L463)))</f>
        <v/>
      </c>
      <c r="N463" s="20" t="n"/>
      <c r="O463" s="20" t="n"/>
      <c r="P463" s="20" t="n"/>
      <c r="Q463" s="20" t="n"/>
      <c r="R463" s="20" t="n"/>
      <c r="S463" s="19">
        <f>IF(A463="","",IF(COUNTIF('Email Log'!B:B,A463)&gt;0,"YES","NO"))</f>
        <v/>
      </c>
    </row>
    <row r="464">
      <c r="A464" s="20" t="n"/>
      <c r="B464" s="20" t="n"/>
      <c r="C464" s="20" t="n"/>
      <c r="D464" s="20" t="n"/>
      <c r="E464" s="20" t="n"/>
      <c r="F464" s="21" t="n"/>
      <c r="G464" s="21" t="n"/>
      <c r="H464" s="20" t="n"/>
      <c r="I464" s="22" t="n"/>
      <c r="J464" s="19">
        <f>IF(OR(F464="",G464=""),"",MAX(0,G464-F464))</f>
        <v/>
      </c>
      <c r="K464" s="23">
        <f>IF(OR(I464="",J464=""),"",I464*J464)</f>
        <v/>
      </c>
      <c r="L464" s="22" t="n"/>
      <c r="M464" s="23">
        <f>IF(K464="","",MAX(0,K464-IF(L464="",0,L464)))</f>
        <v/>
      </c>
      <c r="N464" s="20" t="n"/>
      <c r="O464" s="20" t="n"/>
      <c r="P464" s="20" t="n"/>
      <c r="Q464" s="20" t="n"/>
      <c r="R464" s="20" t="n"/>
      <c r="S464" s="19">
        <f>IF(A464="","",IF(COUNTIF('Email Log'!B:B,A464)&gt;0,"YES","NO"))</f>
        <v/>
      </c>
    </row>
    <row r="465">
      <c r="A465" s="20" t="n"/>
      <c r="B465" s="20" t="n"/>
      <c r="C465" s="20" t="n"/>
      <c r="D465" s="20" t="n"/>
      <c r="E465" s="20" t="n"/>
      <c r="F465" s="21" t="n"/>
      <c r="G465" s="21" t="n"/>
      <c r="H465" s="20" t="n"/>
      <c r="I465" s="22" t="n"/>
      <c r="J465" s="19">
        <f>IF(OR(F465="",G465=""),"",MAX(0,G465-F465))</f>
        <v/>
      </c>
      <c r="K465" s="23">
        <f>IF(OR(I465="",J465=""),"",I465*J465)</f>
        <v/>
      </c>
      <c r="L465" s="22" t="n"/>
      <c r="M465" s="23">
        <f>IF(K465="","",MAX(0,K465-IF(L465="",0,L465)))</f>
        <v/>
      </c>
      <c r="N465" s="20" t="n"/>
      <c r="O465" s="20" t="n"/>
      <c r="P465" s="20" t="n"/>
      <c r="Q465" s="20" t="n"/>
      <c r="R465" s="20" t="n"/>
      <c r="S465" s="19">
        <f>IF(A465="","",IF(COUNTIF('Email Log'!B:B,A465)&gt;0,"YES","NO"))</f>
        <v/>
      </c>
    </row>
    <row r="466">
      <c r="A466" s="20" t="n"/>
      <c r="B466" s="20" t="n"/>
      <c r="C466" s="20" t="n"/>
      <c r="D466" s="20" t="n"/>
      <c r="E466" s="20" t="n"/>
      <c r="F466" s="21" t="n"/>
      <c r="G466" s="21" t="n"/>
      <c r="H466" s="20" t="n"/>
      <c r="I466" s="22" t="n"/>
      <c r="J466" s="19">
        <f>IF(OR(F466="",G466=""),"",MAX(0,G466-F466))</f>
        <v/>
      </c>
      <c r="K466" s="23">
        <f>IF(OR(I466="",J466=""),"",I466*J466)</f>
        <v/>
      </c>
      <c r="L466" s="22" t="n"/>
      <c r="M466" s="23">
        <f>IF(K466="","",MAX(0,K466-IF(L466="",0,L466)))</f>
        <v/>
      </c>
      <c r="N466" s="20" t="n"/>
      <c r="O466" s="20" t="n"/>
      <c r="P466" s="20" t="n"/>
      <c r="Q466" s="20" t="n"/>
      <c r="R466" s="20" t="n"/>
      <c r="S466" s="19">
        <f>IF(A466="","",IF(COUNTIF('Email Log'!B:B,A466)&gt;0,"YES","NO"))</f>
        <v/>
      </c>
    </row>
    <row r="467">
      <c r="A467" s="20" t="n"/>
      <c r="B467" s="20" t="n"/>
      <c r="C467" s="20" t="n"/>
      <c r="D467" s="20" t="n"/>
      <c r="E467" s="20" t="n"/>
      <c r="F467" s="21" t="n"/>
      <c r="G467" s="21" t="n"/>
      <c r="H467" s="20" t="n"/>
      <c r="I467" s="22" t="n"/>
      <c r="J467" s="19">
        <f>IF(OR(F467="",G467=""),"",MAX(0,G467-F467))</f>
        <v/>
      </c>
      <c r="K467" s="23">
        <f>IF(OR(I467="",J467=""),"",I467*J467)</f>
        <v/>
      </c>
      <c r="L467" s="22" t="n"/>
      <c r="M467" s="23">
        <f>IF(K467="","",MAX(0,K467-IF(L467="",0,L467)))</f>
        <v/>
      </c>
      <c r="N467" s="20" t="n"/>
      <c r="O467" s="20" t="n"/>
      <c r="P467" s="20" t="n"/>
      <c r="Q467" s="20" t="n"/>
      <c r="R467" s="20" t="n"/>
      <c r="S467" s="19">
        <f>IF(A467="","",IF(COUNTIF('Email Log'!B:B,A467)&gt;0,"YES","NO"))</f>
        <v/>
      </c>
    </row>
    <row r="468">
      <c r="A468" s="20" t="n"/>
      <c r="B468" s="20" t="n"/>
      <c r="C468" s="20" t="n"/>
      <c r="D468" s="20" t="n"/>
      <c r="E468" s="20" t="n"/>
      <c r="F468" s="21" t="n"/>
      <c r="G468" s="21" t="n"/>
      <c r="H468" s="20" t="n"/>
      <c r="I468" s="22" t="n"/>
      <c r="J468" s="19">
        <f>IF(OR(F468="",G468=""),"",MAX(0,G468-F468))</f>
        <v/>
      </c>
      <c r="K468" s="23">
        <f>IF(OR(I468="",J468=""),"",I468*J468)</f>
        <v/>
      </c>
      <c r="L468" s="22" t="n"/>
      <c r="M468" s="23">
        <f>IF(K468="","",MAX(0,K468-IF(L468="",0,L468)))</f>
        <v/>
      </c>
      <c r="N468" s="20" t="n"/>
      <c r="O468" s="20" t="n"/>
      <c r="P468" s="20" t="n"/>
      <c r="Q468" s="20" t="n"/>
      <c r="R468" s="20" t="n"/>
      <c r="S468" s="19">
        <f>IF(A468="","",IF(COUNTIF('Email Log'!B:B,A468)&gt;0,"YES","NO"))</f>
        <v/>
      </c>
    </row>
    <row r="469">
      <c r="A469" s="20" t="n"/>
      <c r="B469" s="20" t="n"/>
      <c r="C469" s="20" t="n"/>
      <c r="D469" s="20" t="n"/>
      <c r="E469" s="20" t="n"/>
      <c r="F469" s="21" t="n"/>
      <c r="G469" s="21" t="n"/>
      <c r="H469" s="20" t="n"/>
      <c r="I469" s="22" t="n"/>
      <c r="J469" s="19">
        <f>IF(OR(F469="",G469=""),"",MAX(0,G469-F469))</f>
        <v/>
      </c>
      <c r="K469" s="23">
        <f>IF(OR(I469="",J469=""),"",I469*J469)</f>
        <v/>
      </c>
      <c r="L469" s="22" t="n"/>
      <c r="M469" s="23">
        <f>IF(K469="","",MAX(0,K469-IF(L469="",0,L469)))</f>
        <v/>
      </c>
      <c r="N469" s="20" t="n"/>
      <c r="O469" s="20" t="n"/>
      <c r="P469" s="20" t="n"/>
      <c r="Q469" s="20" t="n"/>
      <c r="R469" s="20" t="n"/>
      <c r="S469" s="19">
        <f>IF(A469="","",IF(COUNTIF('Email Log'!B:B,A469)&gt;0,"YES","NO"))</f>
        <v/>
      </c>
    </row>
    <row r="470">
      <c r="A470" s="20" t="n"/>
      <c r="B470" s="20" t="n"/>
      <c r="C470" s="20" t="n"/>
      <c r="D470" s="20" t="n"/>
      <c r="E470" s="20" t="n"/>
      <c r="F470" s="21" t="n"/>
      <c r="G470" s="21" t="n"/>
      <c r="H470" s="20" t="n"/>
      <c r="I470" s="22" t="n"/>
      <c r="J470" s="19">
        <f>IF(OR(F470="",G470=""),"",MAX(0,G470-F470))</f>
        <v/>
      </c>
      <c r="K470" s="23">
        <f>IF(OR(I470="",J470=""),"",I470*J470)</f>
        <v/>
      </c>
      <c r="L470" s="22" t="n"/>
      <c r="M470" s="23">
        <f>IF(K470="","",MAX(0,K470-IF(L470="",0,L470)))</f>
        <v/>
      </c>
      <c r="N470" s="20" t="n"/>
      <c r="O470" s="20" t="n"/>
      <c r="P470" s="20" t="n"/>
      <c r="Q470" s="20" t="n"/>
      <c r="R470" s="20" t="n"/>
      <c r="S470" s="19">
        <f>IF(A470="","",IF(COUNTIF('Email Log'!B:B,A470)&gt;0,"YES","NO"))</f>
        <v/>
      </c>
    </row>
    <row r="471">
      <c r="A471" s="20" t="n"/>
      <c r="B471" s="20" t="n"/>
      <c r="C471" s="20" t="n"/>
      <c r="D471" s="20" t="n"/>
      <c r="E471" s="20" t="n"/>
      <c r="F471" s="21" t="n"/>
      <c r="G471" s="21" t="n"/>
      <c r="H471" s="20" t="n"/>
      <c r="I471" s="22" t="n"/>
      <c r="J471" s="19">
        <f>IF(OR(F471="",G471=""),"",MAX(0,G471-F471))</f>
        <v/>
      </c>
      <c r="K471" s="23">
        <f>IF(OR(I471="",J471=""),"",I471*J471)</f>
        <v/>
      </c>
      <c r="L471" s="22" t="n"/>
      <c r="M471" s="23">
        <f>IF(K471="","",MAX(0,K471-IF(L471="",0,L471)))</f>
        <v/>
      </c>
      <c r="N471" s="20" t="n"/>
      <c r="O471" s="20" t="n"/>
      <c r="P471" s="20" t="n"/>
      <c r="Q471" s="20" t="n"/>
      <c r="R471" s="20" t="n"/>
      <c r="S471" s="19">
        <f>IF(A471="","",IF(COUNTIF('Email Log'!B:B,A471)&gt;0,"YES","NO"))</f>
        <v/>
      </c>
    </row>
    <row r="472">
      <c r="A472" s="20" t="n"/>
      <c r="B472" s="20" t="n"/>
      <c r="C472" s="20" t="n"/>
      <c r="D472" s="20" t="n"/>
      <c r="E472" s="20" t="n"/>
      <c r="F472" s="21" t="n"/>
      <c r="G472" s="21" t="n"/>
      <c r="H472" s="20" t="n"/>
      <c r="I472" s="22" t="n"/>
      <c r="J472" s="19">
        <f>IF(OR(F472="",G472=""),"",MAX(0,G472-F472))</f>
        <v/>
      </c>
      <c r="K472" s="23">
        <f>IF(OR(I472="",J472=""),"",I472*J472)</f>
        <v/>
      </c>
      <c r="L472" s="22" t="n"/>
      <c r="M472" s="23">
        <f>IF(K472="","",MAX(0,K472-IF(L472="",0,L472)))</f>
        <v/>
      </c>
      <c r="N472" s="20" t="n"/>
      <c r="O472" s="20" t="n"/>
      <c r="P472" s="20" t="n"/>
      <c r="Q472" s="20" t="n"/>
      <c r="R472" s="20" t="n"/>
      <c r="S472" s="19">
        <f>IF(A472="","",IF(COUNTIF('Email Log'!B:B,A472)&gt;0,"YES","NO"))</f>
        <v/>
      </c>
    </row>
    <row r="473">
      <c r="A473" s="20" t="n"/>
      <c r="B473" s="20" t="n"/>
      <c r="C473" s="20" t="n"/>
      <c r="D473" s="20" t="n"/>
      <c r="E473" s="20" t="n"/>
      <c r="F473" s="21" t="n"/>
      <c r="G473" s="21" t="n"/>
      <c r="H473" s="20" t="n"/>
      <c r="I473" s="22" t="n"/>
      <c r="J473" s="19">
        <f>IF(OR(F473="",G473=""),"",MAX(0,G473-F473))</f>
        <v/>
      </c>
      <c r="K473" s="23">
        <f>IF(OR(I473="",J473=""),"",I473*J473)</f>
        <v/>
      </c>
      <c r="L473" s="22" t="n"/>
      <c r="M473" s="23">
        <f>IF(K473="","",MAX(0,K473-IF(L473="",0,L473)))</f>
        <v/>
      </c>
      <c r="N473" s="20" t="n"/>
      <c r="O473" s="20" t="n"/>
      <c r="P473" s="20" t="n"/>
      <c r="Q473" s="20" t="n"/>
      <c r="R473" s="20" t="n"/>
      <c r="S473" s="19">
        <f>IF(A473="","",IF(COUNTIF('Email Log'!B:B,A473)&gt;0,"YES","NO"))</f>
        <v/>
      </c>
    </row>
    <row r="474">
      <c r="A474" s="20" t="n"/>
      <c r="B474" s="20" t="n"/>
      <c r="C474" s="20" t="n"/>
      <c r="D474" s="20" t="n"/>
      <c r="E474" s="20" t="n"/>
      <c r="F474" s="21" t="n"/>
      <c r="G474" s="21" t="n"/>
      <c r="H474" s="20" t="n"/>
      <c r="I474" s="22" t="n"/>
      <c r="J474" s="19">
        <f>IF(OR(F474="",G474=""),"",MAX(0,G474-F474))</f>
        <v/>
      </c>
      <c r="K474" s="23">
        <f>IF(OR(I474="",J474=""),"",I474*J474)</f>
        <v/>
      </c>
      <c r="L474" s="22" t="n"/>
      <c r="M474" s="23">
        <f>IF(K474="","",MAX(0,K474-IF(L474="",0,L474)))</f>
        <v/>
      </c>
      <c r="N474" s="20" t="n"/>
      <c r="O474" s="20" t="n"/>
      <c r="P474" s="20" t="n"/>
      <c r="Q474" s="20" t="n"/>
      <c r="R474" s="20" t="n"/>
      <c r="S474" s="19">
        <f>IF(A474="","",IF(COUNTIF('Email Log'!B:B,A474)&gt;0,"YES","NO"))</f>
        <v/>
      </c>
    </row>
    <row r="475">
      <c r="A475" s="20" t="n"/>
      <c r="B475" s="20" t="n"/>
      <c r="C475" s="20" t="n"/>
      <c r="D475" s="20" t="n"/>
      <c r="E475" s="20" t="n"/>
      <c r="F475" s="21" t="n"/>
      <c r="G475" s="21" t="n"/>
      <c r="H475" s="20" t="n"/>
      <c r="I475" s="22" t="n"/>
      <c r="J475" s="19">
        <f>IF(OR(F475="",G475=""),"",MAX(0,G475-F475))</f>
        <v/>
      </c>
      <c r="K475" s="23">
        <f>IF(OR(I475="",J475=""),"",I475*J475)</f>
        <v/>
      </c>
      <c r="L475" s="22" t="n"/>
      <c r="M475" s="23">
        <f>IF(K475="","",MAX(0,K475-IF(L475="",0,L475)))</f>
        <v/>
      </c>
      <c r="N475" s="20" t="n"/>
      <c r="O475" s="20" t="n"/>
      <c r="P475" s="20" t="n"/>
      <c r="Q475" s="20" t="n"/>
      <c r="R475" s="20" t="n"/>
      <c r="S475" s="19">
        <f>IF(A475="","",IF(COUNTIF('Email Log'!B:B,A475)&gt;0,"YES","NO"))</f>
        <v/>
      </c>
    </row>
    <row r="476">
      <c r="A476" s="20" t="n"/>
      <c r="B476" s="20" t="n"/>
      <c r="C476" s="20" t="n"/>
      <c r="D476" s="20" t="n"/>
      <c r="E476" s="20" t="n"/>
      <c r="F476" s="21" t="n"/>
      <c r="G476" s="21" t="n"/>
      <c r="H476" s="20" t="n"/>
      <c r="I476" s="22" t="n"/>
      <c r="J476" s="19">
        <f>IF(OR(F476="",G476=""),"",MAX(0,G476-F476))</f>
        <v/>
      </c>
      <c r="K476" s="23">
        <f>IF(OR(I476="",J476=""),"",I476*J476)</f>
        <v/>
      </c>
      <c r="L476" s="22" t="n"/>
      <c r="M476" s="23">
        <f>IF(K476="","",MAX(0,K476-IF(L476="",0,L476)))</f>
        <v/>
      </c>
      <c r="N476" s="20" t="n"/>
      <c r="O476" s="20" t="n"/>
      <c r="P476" s="20" t="n"/>
      <c r="Q476" s="20" t="n"/>
      <c r="R476" s="20" t="n"/>
      <c r="S476" s="19">
        <f>IF(A476="","",IF(COUNTIF('Email Log'!B:B,A476)&gt;0,"YES","NO"))</f>
        <v/>
      </c>
    </row>
    <row r="477">
      <c r="A477" s="20" t="n"/>
      <c r="B477" s="20" t="n"/>
      <c r="C477" s="20" t="n"/>
      <c r="D477" s="20" t="n"/>
      <c r="E477" s="20" t="n"/>
      <c r="F477" s="21" t="n"/>
      <c r="G477" s="21" t="n"/>
      <c r="H477" s="20" t="n"/>
      <c r="I477" s="22" t="n"/>
      <c r="J477" s="19">
        <f>IF(OR(F477="",G477=""),"",MAX(0,G477-F477))</f>
        <v/>
      </c>
      <c r="K477" s="23">
        <f>IF(OR(I477="",J477=""),"",I477*J477)</f>
        <v/>
      </c>
      <c r="L477" s="22" t="n"/>
      <c r="M477" s="23">
        <f>IF(K477="","",MAX(0,K477-IF(L477="",0,L477)))</f>
        <v/>
      </c>
      <c r="N477" s="20" t="n"/>
      <c r="O477" s="20" t="n"/>
      <c r="P477" s="20" t="n"/>
      <c r="Q477" s="20" t="n"/>
      <c r="R477" s="20" t="n"/>
      <c r="S477" s="19">
        <f>IF(A477="","",IF(COUNTIF('Email Log'!B:B,A477)&gt;0,"YES","NO"))</f>
        <v/>
      </c>
    </row>
    <row r="478">
      <c r="A478" s="20" t="n"/>
      <c r="B478" s="20" t="n"/>
      <c r="C478" s="20" t="n"/>
      <c r="D478" s="20" t="n"/>
      <c r="E478" s="20" t="n"/>
      <c r="F478" s="21" t="n"/>
      <c r="G478" s="21" t="n"/>
      <c r="H478" s="20" t="n"/>
      <c r="I478" s="22" t="n"/>
      <c r="J478" s="19">
        <f>IF(OR(F478="",G478=""),"",MAX(0,G478-F478))</f>
        <v/>
      </c>
      <c r="K478" s="23">
        <f>IF(OR(I478="",J478=""),"",I478*J478)</f>
        <v/>
      </c>
      <c r="L478" s="22" t="n"/>
      <c r="M478" s="23">
        <f>IF(K478="","",MAX(0,K478-IF(L478="",0,L478)))</f>
        <v/>
      </c>
      <c r="N478" s="20" t="n"/>
      <c r="O478" s="20" t="n"/>
      <c r="P478" s="20" t="n"/>
      <c r="Q478" s="20" t="n"/>
      <c r="R478" s="20" t="n"/>
      <c r="S478" s="19">
        <f>IF(A478="","",IF(COUNTIF('Email Log'!B:B,A478)&gt;0,"YES","NO"))</f>
        <v/>
      </c>
    </row>
    <row r="479">
      <c r="A479" s="20" t="n"/>
      <c r="B479" s="20" t="n"/>
      <c r="C479" s="20" t="n"/>
      <c r="D479" s="20" t="n"/>
      <c r="E479" s="20" t="n"/>
      <c r="F479" s="21" t="n"/>
      <c r="G479" s="21" t="n"/>
      <c r="H479" s="20" t="n"/>
      <c r="I479" s="22" t="n"/>
      <c r="J479" s="19">
        <f>IF(OR(F479="",G479=""),"",MAX(0,G479-F479))</f>
        <v/>
      </c>
      <c r="K479" s="23">
        <f>IF(OR(I479="",J479=""),"",I479*J479)</f>
        <v/>
      </c>
      <c r="L479" s="22" t="n"/>
      <c r="M479" s="23">
        <f>IF(K479="","",MAX(0,K479-IF(L479="",0,L479)))</f>
        <v/>
      </c>
      <c r="N479" s="20" t="n"/>
      <c r="O479" s="20" t="n"/>
      <c r="P479" s="20" t="n"/>
      <c r="Q479" s="20" t="n"/>
      <c r="R479" s="20" t="n"/>
      <c r="S479" s="19">
        <f>IF(A479="","",IF(COUNTIF('Email Log'!B:B,A479)&gt;0,"YES","NO"))</f>
        <v/>
      </c>
    </row>
    <row r="480">
      <c r="A480" s="20" t="n"/>
      <c r="B480" s="20" t="n"/>
      <c r="C480" s="20" t="n"/>
      <c r="D480" s="20" t="n"/>
      <c r="E480" s="20" t="n"/>
      <c r="F480" s="21" t="n"/>
      <c r="G480" s="21" t="n"/>
      <c r="H480" s="20" t="n"/>
      <c r="I480" s="22" t="n"/>
      <c r="J480" s="19">
        <f>IF(OR(F480="",G480=""),"",MAX(0,G480-F480))</f>
        <v/>
      </c>
      <c r="K480" s="23">
        <f>IF(OR(I480="",J480=""),"",I480*J480)</f>
        <v/>
      </c>
      <c r="L480" s="22" t="n"/>
      <c r="M480" s="23">
        <f>IF(K480="","",MAX(0,K480-IF(L480="",0,L480)))</f>
        <v/>
      </c>
      <c r="N480" s="20" t="n"/>
      <c r="O480" s="20" t="n"/>
      <c r="P480" s="20" t="n"/>
      <c r="Q480" s="20" t="n"/>
      <c r="R480" s="20" t="n"/>
      <c r="S480" s="19">
        <f>IF(A480="","",IF(COUNTIF('Email Log'!B:B,A480)&gt;0,"YES","NO"))</f>
        <v/>
      </c>
    </row>
    <row r="481">
      <c r="A481" s="20" t="n"/>
      <c r="B481" s="20" t="n"/>
      <c r="C481" s="20" t="n"/>
      <c r="D481" s="20" t="n"/>
      <c r="E481" s="20" t="n"/>
      <c r="F481" s="21" t="n"/>
      <c r="G481" s="21" t="n"/>
      <c r="H481" s="20" t="n"/>
      <c r="I481" s="22" t="n"/>
      <c r="J481" s="19">
        <f>IF(OR(F481="",G481=""),"",MAX(0,G481-F481))</f>
        <v/>
      </c>
      <c r="K481" s="23">
        <f>IF(OR(I481="",J481=""),"",I481*J481)</f>
        <v/>
      </c>
      <c r="L481" s="22" t="n"/>
      <c r="M481" s="23">
        <f>IF(K481="","",MAX(0,K481-IF(L481="",0,L481)))</f>
        <v/>
      </c>
      <c r="N481" s="20" t="n"/>
      <c r="O481" s="20" t="n"/>
      <c r="P481" s="20" t="n"/>
      <c r="Q481" s="20" t="n"/>
      <c r="R481" s="20" t="n"/>
      <c r="S481" s="19">
        <f>IF(A481="","",IF(COUNTIF('Email Log'!B:B,A481)&gt;0,"YES","NO"))</f>
        <v/>
      </c>
    </row>
    <row r="482">
      <c r="A482" s="20" t="n"/>
      <c r="B482" s="20" t="n"/>
      <c r="C482" s="20" t="n"/>
      <c r="D482" s="20" t="n"/>
      <c r="E482" s="20" t="n"/>
      <c r="F482" s="21" t="n"/>
      <c r="G482" s="21" t="n"/>
      <c r="H482" s="20" t="n"/>
      <c r="I482" s="22" t="n"/>
      <c r="J482" s="19">
        <f>IF(OR(F482="",G482=""),"",MAX(0,G482-F482))</f>
        <v/>
      </c>
      <c r="K482" s="23">
        <f>IF(OR(I482="",J482=""),"",I482*J482)</f>
        <v/>
      </c>
      <c r="L482" s="22" t="n"/>
      <c r="M482" s="23">
        <f>IF(K482="","",MAX(0,K482-IF(L482="",0,L482)))</f>
        <v/>
      </c>
      <c r="N482" s="20" t="n"/>
      <c r="O482" s="20" t="n"/>
      <c r="P482" s="20" t="n"/>
      <c r="Q482" s="20" t="n"/>
      <c r="R482" s="20" t="n"/>
      <c r="S482" s="19">
        <f>IF(A482="","",IF(COUNTIF('Email Log'!B:B,A482)&gt;0,"YES","NO"))</f>
        <v/>
      </c>
    </row>
    <row r="483">
      <c r="A483" s="20" t="n"/>
      <c r="B483" s="20" t="n"/>
      <c r="C483" s="20" t="n"/>
      <c r="D483" s="20" t="n"/>
      <c r="E483" s="20" t="n"/>
      <c r="F483" s="21" t="n"/>
      <c r="G483" s="21" t="n"/>
      <c r="H483" s="20" t="n"/>
      <c r="I483" s="22" t="n"/>
      <c r="J483" s="19">
        <f>IF(OR(F483="",G483=""),"",MAX(0,G483-F483))</f>
        <v/>
      </c>
      <c r="K483" s="23">
        <f>IF(OR(I483="",J483=""),"",I483*J483)</f>
        <v/>
      </c>
      <c r="L483" s="22" t="n"/>
      <c r="M483" s="23">
        <f>IF(K483="","",MAX(0,K483-IF(L483="",0,L483)))</f>
        <v/>
      </c>
      <c r="N483" s="20" t="n"/>
      <c r="O483" s="20" t="n"/>
      <c r="P483" s="20" t="n"/>
      <c r="Q483" s="20" t="n"/>
      <c r="R483" s="20" t="n"/>
      <c r="S483" s="19">
        <f>IF(A483="","",IF(COUNTIF('Email Log'!B:B,A483)&gt;0,"YES","NO"))</f>
        <v/>
      </c>
    </row>
    <row r="484">
      <c r="A484" s="20" t="n"/>
      <c r="B484" s="20" t="n"/>
      <c r="C484" s="20" t="n"/>
      <c r="D484" s="20" t="n"/>
      <c r="E484" s="20" t="n"/>
      <c r="F484" s="21" t="n"/>
      <c r="G484" s="21" t="n"/>
      <c r="H484" s="20" t="n"/>
      <c r="I484" s="22" t="n"/>
      <c r="J484" s="19">
        <f>IF(OR(F484="",G484=""),"",MAX(0,G484-F484))</f>
        <v/>
      </c>
      <c r="K484" s="23">
        <f>IF(OR(I484="",J484=""),"",I484*J484)</f>
        <v/>
      </c>
      <c r="L484" s="22" t="n"/>
      <c r="M484" s="23">
        <f>IF(K484="","",MAX(0,K484-IF(L484="",0,L484)))</f>
        <v/>
      </c>
      <c r="N484" s="20" t="n"/>
      <c r="O484" s="20" t="n"/>
      <c r="P484" s="20" t="n"/>
      <c r="Q484" s="20" t="n"/>
      <c r="R484" s="20" t="n"/>
      <c r="S484" s="19">
        <f>IF(A484="","",IF(COUNTIF('Email Log'!B:B,A484)&gt;0,"YES","NO"))</f>
        <v/>
      </c>
    </row>
    <row r="485">
      <c r="A485" s="20" t="n"/>
      <c r="B485" s="20" t="n"/>
      <c r="C485" s="20" t="n"/>
      <c r="D485" s="20" t="n"/>
      <c r="E485" s="20" t="n"/>
      <c r="F485" s="21" t="n"/>
      <c r="G485" s="21" t="n"/>
      <c r="H485" s="20" t="n"/>
      <c r="I485" s="22" t="n"/>
      <c r="J485" s="19">
        <f>IF(OR(F485="",G485=""),"",MAX(0,G485-F485))</f>
        <v/>
      </c>
      <c r="K485" s="23">
        <f>IF(OR(I485="",J485=""),"",I485*J485)</f>
        <v/>
      </c>
      <c r="L485" s="22" t="n"/>
      <c r="M485" s="23">
        <f>IF(K485="","",MAX(0,K485-IF(L485="",0,L485)))</f>
        <v/>
      </c>
      <c r="N485" s="20" t="n"/>
      <c r="O485" s="20" t="n"/>
      <c r="P485" s="20" t="n"/>
      <c r="Q485" s="20" t="n"/>
      <c r="R485" s="20" t="n"/>
      <c r="S485" s="19">
        <f>IF(A485="","",IF(COUNTIF('Email Log'!B:B,A485)&gt;0,"YES","NO"))</f>
        <v/>
      </c>
    </row>
    <row r="486">
      <c r="A486" s="20" t="n"/>
      <c r="B486" s="20" t="n"/>
      <c r="C486" s="20" t="n"/>
      <c r="D486" s="20" t="n"/>
      <c r="E486" s="20" t="n"/>
      <c r="F486" s="21" t="n"/>
      <c r="G486" s="21" t="n"/>
      <c r="H486" s="20" t="n"/>
      <c r="I486" s="22" t="n"/>
      <c r="J486" s="19">
        <f>IF(OR(F486="",G486=""),"",MAX(0,G486-F486))</f>
        <v/>
      </c>
      <c r="K486" s="23">
        <f>IF(OR(I486="",J486=""),"",I486*J486)</f>
        <v/>
      </c>
      <c r="L486" s="22" t="n"/>
      <c r="M486" s="23">
        <f>IF(K486="","",MAX(0,K486-IF(L486="",0,L486)))</f>
        <v/>
      </c>
      <c r="N486" s="20" t="n"/>
      <c r="O486" s="20" t="n"/>
      <c r="P486" s="20" t="n"/>
      <c r="Q486" s="20" t="n"/>
      <c r="R486" s="20" t="n"/>
      <c r="S486" s="19">
        <f>IF(A486="","",IF(COUNTIF('Email Log'!B:B,A486)&gt;0,"YES","NO"))</f>
        <v/>
      </c>
    </row>
    <row r="487">
      <c r="A487" s="20" t="n"/>
      <c r="B487" s="20" t="n"/>
      <c r="C487" s="20" t="n"/>
      <c r="D487" s="20" t="n"/>
      <c r="E487" s="20" t="n"/>
      <c r="F487" s="21" t="n"/>
      <c r="G487" s="21" t="n"/>
      <c r="H487" s="20" t="n"/>
      <c r="I487" s="22" t="n"/>
      <c r="J487" s="19">
        <f>IF(OR(F487="",G487=""),"",MAX(0,G487-F487))</f>
        <v/>
      </c>
      <c r="K487" s="23">
        <f>IF(OR(I487="",J487=""),"",I487*J487)</f>
        <v/>
      </c>
      <c r="L487" s="22" t="n"/>
      <c r="M487" s="23">
        <f>IF(K487="","",MAX(0,K487-IF(L487="",0,L487)))</f>
        <v/>
      </c>
      <c r="N487" s="20" t="n"/>
      <c r="O487" s="20" t="n"/>
      <c r="P487" s="20" t="n"/>
      <c r="Q487" s="20" t="n"/>
      <c r="R487" s="20" t="n"/>
      <c r="S487" s="19">
        <f>IF(A487="","",IF(COUNTIF('Email Log'!B:B,A487)&gt;0,"YES","NO"))</f>
        <v/>
      </c>
    </row>
    <row r="488">
      <c r="A488" s="20" t="n"/>
      <c r="B488" s="20" t="n"/>
      <c r="C488" s="20" t="n"/>
      <c r="D488" s="20" t="n"/>
      <c r="E488" s="20" t="n"/>
      <c r="F488" s="21" t="n"/>
      <c r="G488" s="21" t="n"/>
      <c r="H488" s="20" t="n"/>
      <c r="I488" s="22" t="n"/>
      <c r="J488" s="19">
        <f>IF(OR(F488="",G488=""),"",MAX(0,G488-F488))</f>
        <v/>
      </c>
      <c r="K488" s="23">
        <f>IF(OR(I488="",J488=""),"",I488*J488)</f>
        <v/>
      </c>
      <c r="L488" s="22" t="n"/>
      <c r="M488" s="23">
        <f>IF(K488="","",MAX(0,K488-IF(L488="",0,L488)))</f>
        <v/>
      </c>
      <c r="N488" s="20" t="n"/>
      <c r="O488" s="20" t="n"/>
      <c r="P488" s="20" t="n"/>
      <c r="Q488" s="20" t="n"/>
      <c r="R488" s="20" t="n"/>
      <c r="S488" s="19">
        <f>IF(A488="","",IF(COUNTIF('Email Log'!B:B,A488)&gt;0,"YES","NO"))</f>
        <v/>
      </c>
    </row>
    <row r="489">
      <c r="A489" s="20" t="n"/>
      <c r="B489" s="20" t="n"/>
      <c r="C489" s="20" t="n"/>
      <c r="D489" s="20" t="n"/>
      <c r="E489" s="20" t="n"/>
      <c r="F489" s="21" t="n"/>
      <c r="G489" s="21" t="n"/>
      <c r="H489" s="20" t="n"/>
      <c r="I489" s="22" t="n"/>
      <c r="J489" s="19">
        <f>IF(OR(F489="",G489=""),"",MAX(0,G489-F489))</f>
        <v/>
      </c>
      <c r="K489" s="23">
        <f>IF(OR(I489="",J489=""),"",I489*J489)</f>
        <v/>
      </c>
      <c r="L489" s="22" t="n"/>
      <c r="M489" s="23">
        <f>IF(K489="","",MAX(0,K489-IF(L489="",0,L489)))</f>
        <v/>
      </c>
      <c r="N489" s="20" t="n"/>
      <c r="O489" s="20" t="n"/>
      <c r="P489" s="20" t="n"/>
      <c r="Q489" s="20" t="n"/>
      <c r="R489" s="20" t="n"/>
      <c r="S489" s="19">
        <f>IF(A489="","",IF(COUNTIF('Email Log'!B:B,A489)&gt;0,"YES","NO"))</f>
        <v/>
      </c>
    </row>
    <row r="490">
      <c r="A490" s="20" t="n"/>
      <c r="B490" s="20" t="n"/>
      <c r="C490" s="20" t="n"/>
      <c r="D490" s="20" t="n"/>
      <c r="E490" s="20" t="n"/>
      <c r="F490" s="21" t="n"/>
      <c r="G490" s="21" t="n"/>
      <c r="H490" s="20" t="n"/>
      <c r="I490" s="22" t="n"/>
      <c r="J490" s="19">
        <f>IF(OR(F490="",G490=""),"",MAX(0,G490-F490))</f>
        <v/>
      </c>
      <c r="K490" s="23">
        <f>IF(OR(I490="",J490=""),"",I490*J490)</f>
        <v/>
      </c>
      <c r="L490" s="22" t="n"/>
      <c r="M490" s="23">
        <f>IF(K490="","",MAX(0,K490-IF(L490="",0,L490)))</f>
        <v/>
      </c>
      <c r="N490" s="20" t="n"/>
      <c r="O490" s="20" t="n"/>
      <c r="P490" s="20" t="n"/>
      <c r="Q490" s="20" t="n"/>
      <c r="R490" s="20" t="n"/>
      <c r="S490" s="19">
        <f>IF(A490="","",IF(COUNTIF('Email Log'!B:B,A490)&gt;0,"YES","NO"))</f>
        <v/>
      </c>
    </row>
    <row r="491">
      <c r="A491" s="20" t="n"/>
      <c r="B491" s="20" t="n"/>
      <c r="C491" s="20" t="n"/>
      <c r="D491" s="20" t="n"/>
      <c r="E491" s="20" t="n"/>
      <c r="F491" s="21" t="n"/>
      <c r="G491" s="21" t="n"/>
      <c r="H491" s="20" t="n"/>
      <c r="I491" s="22" t="n"/>
      <c r="J491" s="19">
        <f>IF(OR(F491="",G491=""),"",MAX(0,G491-F491))</f>
        <v/>
      </c>
      <c r="K491" s="23">
        <f>IF(OR(I491="",J491=""),"",I491*J491)</f>
        <v/>
      </c>
      <c r="L491" s="22" t="n"/>
      <c r="M491" s="23">
        <f>IF(K491="","",MAX(0,K491-IF(L491="",0,L491)))</f>
        <v/>
      </c>
      <c r="N491" s="20" t="n"/>
      <c r="O491" s="20" t="n"/>
      <c r="P491" s="20" t="n"/>
      <c r="Q491" s="20" t="n"/>
      <c r="R491" s="20" t="n"/>
      <c r="S491" s="19">
        <f>IF(A491="","",IF(COUNTIF('Email Log'!B:B,A491)&gt;0,"YES","NO"))</f>
        <v/>
      </c>
    </row>
    <row r="492">
      <c r="A492" s="20" t="n"/>
      <c r="B492" s="20" t="n"/>
      <c r="C492" s="20" t="n"/>
      <c r="D492" s="20" t="n"/>
      <c r="E492" s="20" t="n"/>
      <c r="F492" s="21" t="n"/>
      <c r="G492" s="21" t="n"/>
      <c r="H492" s="20" t="n"/>
      <c r="I492" s="22" t="n"/>
      <c r="J492" s="19">
        <f>IF(OR(F492="",G492=""),"",MAX(0,G492-F492))</f>
        <v/>
      </c>
      <c r="K492" s="23">
        <f>IF(OR(I492="",J492=""),"",I492*J492)</f>
        <v/>
      </c>
      <c r="L492" s="22" t="n"/>
      <c r="M492" s="23">
        <f>IF(K492="","",MAX(0,K492-IF(L492="",0,L492)))</f>
        <v/>
      </c>
      <c r="N492" s="20" t="n"/>
      <c r="O492" s="20" t="n"/>
      <c r="P492" s="20" t="n"/>
      <c r="Q492" s="20" t="n"/>
      <c r="R492" s="20" t="n"/>
      <c r="S492" s="19">
        <f>IF(A492="","",IF(COUNTIF('Email Log'!B:B,A492)&gt;0,"YES","NO"))</f>
        <v/>
      </c>
    </row>
    <row r="493">
      <c r="A493" s="20" t="n"/>
      <c r="B493" s="20" t="n"/>
      <c r="C493" s="20" t="n"/>
      <c r="D493" s="20" t="n"/>
      <c r="E493" s="20" t="n"/>
      <c r="F493" s="21" t="n"/>
      <c r="G493" s="21" t="n"/>
      <c r="H493" s="20" t="n"/>
      <c r="I493" s="22" t="n"/>
      <c r="J493" s="19">
        <f>IF(OR(F493="",G493=""),"",MAX(0,G493-F493))</f>
        <v/>
      </c>
      <c r="K493" s="23">
        <f>IF(OR(I493="",J493=""),"",I493*J493)</f>
        <v/>
      </c>
      <c r="L493" s="22" t="n"/>
      <c r="M493" s="23">
        <f>IF(K493="","",MAX(0,K493-IF(L493="",0,L493)))</f>
        <v/>
      </c>
      <c r="N493" s="20" t="n"/>
      <c r="O493" s="20" t="n"/>
      <c r="P493" s="20" t="n"/>
      <c r="Q493" s="20" t="n"/>
      <c r="R493" s="20" t="n"/>
      <c r="S493" s="19">
        <f>IF(A493="","",IF(COUNTIF('Email Log'!B:B,A493)&gt;0,"YES","NO"))</f>
        <v/>
      </c>
    </row>
    <row r="494">
      <c r="A494" s="20" t="n"/>
      <c r="B494" s="20" t="n"/>
      <c r="C494" s="20" t="n"/>
      <c r="D494" s="20" t="n"/>
      <c r="E494" s="20" t="n"/>
      <c r="F494" s="21" t="n"/>
      <c r="G494" s="21" t="n"/>
      <c r="H494" s="20" t="n"/>
      <c r="I494" s="22" t="n"/>
      <c r="J494" s="19">
        <f>IF(OR(F494="",G494=""),"",MAX(0,G494-F494))</f>
        <v/>
      </c>
      <c r="K494" s="23">
        <f>IF(OR(I494="",J494=""),"",I494*J494)</f>
        <v/>
      </c>
      <c r="L494" s="22" t="n"/>
      <c r="M494" s="23">
        <f>IF(K494="","",MAX(0,K494-IF(L494="",0,L494)))</f>
        <v/>
      </c>
      <c r="N494" s="20" t="n"/>
      <c r="O494" s="20" t="n"/>
      <c r="P494" s="20" t="n"/>
      <c r="Q494" s="20" t="n"/>
      <c r="R494" s="20" t="n"/>
      <c r="S494" s="19">
        <f>IF(A494="","",IF(COUNTIF('Email Log'!B:B,A494)&gt;0,"YES","NO"))</f>
        <v/>
      </c>
    </row>
    <row r="495">
      <c r="A495" s="20" t="n"/>
      <c r="B495" s="20" t="n"/>
      <c r="C495" s="20" t="n"/>
      <c r="D495" s="20" t="n"/>
      <c r="E495" s="20" t="n"/>
      <c r="F495" s="21" t="n"/>
      <c r="G495" s="21" t="n"/>
      <c r="H495" s="20" t="n"/>
      <c r="I495" s="22" t="n"/>
      <c r="J495" s="19">
        <f>IF(OR(F495="",G495=""),"",MAX(0,G495-F495))</f>
        <v/>
      </c>
      <c r="K495" s="23">
        <f>IF(OR(I495="",J495=""),"",I495*J495)</f>
        <v/>
      </c>
      <c r="L495" s="22" t="n"/>
      <c r="M495" s="23">
        <f>IF(K495="","",MAX(0,K495-IF(L495="",0,L495)))</f>
        <v/>
      </c>
      <c r="N495" s="20" t="n"/>
      <c r="O495" s="20" t="n"/>
      <c r="P495" s="20" t="n"/>
      <c r="Q495" s="20" t="n"/>
      <c r="R495" s="20" t="n"/>
      <c r="S495" s="19">
        <f>IF(A495="","",IF(COUNTIF('Email Log'!B:B,A495)&gt;0,"YES","NO"))</f>
        <v/>
      </c>
    </row>
    <row r="496">
      <c r="A496" s="20" t="n"/>
      <c r="B496" s="20" t="n"/>
      <c r="C496" s="20" t="n"/>
      <c r="D496" s="20" t="n"/>
      <c r="E496" s="20" t="n"/>
      <c r="F496" s="21" t="n"/>
      <c r="G496" s="21" t="n"/>
      <c r="H496" s="20" t="n"/>
      <c r="I496" s="22" t="n"/>
      <c r="J496" s="19">
        <f>IF(OR(F496="",G496=""),"",MAX(0,G496-F496))</f>
        <v/>
      </c>
      <c r="K496" s="23">
        <f>IF(OR(I496="",J496=""),"",I496*J496)</f>
        <v/>
      </c>
      <c r="L496" s="22" t="n"/>
      <c r="M496" s="23">
        <f>IF(K496="","",MAX(0,K496-IF(L496="",0,L496)))</f>
        <v/>
      </c>
      <c r="N496" s="20" t="n"/>
      <c r="O496" s="20" t="n"/>
      <c r="P496" s="20" t="n"/>
      <c r="Q496" s="20" t="n"/>
      <c r="R496" s="20" t="n"/>
      <c r="S496" s="19">
        <f>IF(A496="","",IF(COUNTIF('Email Log'!B:B,A496)&gt;0,"YES","NO"))</f>
        <v/>
      </c>
    </row>
    <row r="497">
      <c r="A497" s="20" t="n"/>
      <c r="B497" s="20" t="n"/>
      <c r="C497" s="20" t="n"/>
      <c r="D497" s="20" t="n"/>
      <c r="E497" s="20" t="n"/>
      <c r="F497" s="21" t="n"/>
      <c r="G497" s="21" t="n"/>
      <c r="H497" s="20" t="n"/>
      <c r="I497" s="22" t="n"/>
      <c r="J497" s="19">
        <f>IF(OR(F497="",G497=""),"",MAX(0,G497-F497))</f>
        <v/>
      </c>
      <c r="K497" s="23">
        <f>IF(OR(I497="",J497=""),"",I497*J497)</f>
        <v/>
      </c>
      <c r="L497" s="22" t="n"/>
      <c r="M497" s="23">
        <f>IF(K497="","",MAX(0,K497-IF(L497="",0,L497)))</f>
        <v/>
      </c>
      <c r="N497" s="20" t="n"/>
      <c r="O497" s="20" t="n"/>
      <c r="P497" s="20" t="n"/>
      <c r="Q497" s="20" t="n"/>
      <c r="R497" s="20" t="n"/>
      <c r="S497" s="19">
        <f>IF(A497="","",IF(COUNTIF('Email Log'!B:B,A497)&gt;0,"YES","NO"))</f>
        <v/>
      </c>
    </row>
    <row r="498">
      <c r="A498" s="20" t="n"/>
      <c r="B498" s="20" t="n"/>
      <c r="C498" s="20" t="n"/>
      <c r="D498" s="20" t="n"/>
      <c r="E498" s="20" t="n"/>
      <c r="F498" s="21" t="n"/>
      <c r="G498" s="21" t="n"/>
      <c r="H498" s="20" t="n"/>
      <c r="I498" s="22" t="n"/>
      <c r="J498" s="19">
        <f>IF(OR(F498="",G498=""),"",MAX(0,G498-F498))</f>
        <v/>
      </c>
      <c r="K498" s="23">
        <f>IF(OR(I498="",J498=""),"",I498*J498)</f>
        <v/>
      </c>
      <c r="L498" s="22" t="n"/>
      <c r="M498" s="23">
        <f>IF(K498="","",MAX(0,K498-IF(L498="",0,L498)))</f>
        <v/>
      </c>
      <c r="N498" s="20" t="n"/>
      <c r="O498" s="20" t="n"/>
      <c r="P498" s="20" t="n"/>
      <c r="Q498" s="20" t="n"/>
      <c r="R498" s="20" t="n"/>
      <c r="S498" s="19">
        <f>IF(A498="","",IF(COUNTIF('Email Log'!B:B,A498)&gt;0,"YES","NO"))</f>
        <v/>
      </c>
    </row>
    <row r="499">
      <c r="A499" s="20" t="n"/>
      <c r="B499" s="20" t="n"/>
      <c r="C499" s="20" t="n"/>
      <c r="D499" s="20" t="n"/>
      <c r="E499" s="20" t="n"/>
      <c r="F499" s="21" t="n"/>
      <c r="G499" s="21" t="n"/>
      <c r="H499" s="20" t="n"/>
      <c r="I499" s="22" t="n"/>
      <c r="J499" s="19">
        <f>IF(OR(F499="",G499=""),"",MAX(0,G499-F499))</f>
        <v/>
      </c>
      <c r="K499" s="23">
        <f>IF(OR(I499="",J499=""),"",I499*J499)</f>
        <v/>
      </c>
      <c r="L499" s="22" t="n"/>
      <c r="M499" s="23">
        <f>IF(K499="","",MAX(0,K499-IF(L499="",0,L499)))</f>
        <v/>
      </c>
      <c r="N499" s="20" t="n"/>
      <c r="O499" s="20" t="n"/>
      <c r="P499" s="20" t="n"/>
      <c r="Q499" s="20" t="n"/>
      <c r="R499" s="20" t="n"/>
      <c r="S499" s="19">
        <f>IF(A499="","",IF(COUNTIF('Email Log'!B:B,A499)&gt;0,"YES","NO"))</f>
        <v/>
      </c>
    </row>
    <row r="500">
      <c r="A500" s="20" t="n"/>
      <c r="B500" s="20" t="n"/>
      <c r="C500" s="20" t="n"/>
      <c r="D500" s="20" t="n"/>
      <c r="E500" s="20" t="n"/>
      <c r="F500" s="21" t="n"/>
      <c r="G500" s="21" t="n"/>
      <c r="H500" s="20" t="n"/>
      <c r="I500" s="22" t="n"/>
      <c r="J500" s="19">
        <f>IF(OR(F500="",G500=""),"",MAX(0,G500-F500))</f>
        <v/>
      </c>
      <c r="K500" s="23">
        <f>IF(OR(I500="",J500=""),"",I500*J500)</f>
        <v/>
      </c>
      <c r="L500" s="22" t="n"/>
      <c r="M500" s="23">
        <f>IF(K500="","",MAX(0,K500-IF(L500="",0,L500)))</f>
        <v/>
      </c>
      <c r="N500" s="20" t="n"/>
      <c r="O500" s="20" t="n"/>
      <c r="P500" s="20" t="n"/>
      <c r="Q500" s="20" t="n"/>
      <c r="R500" s="20" t="n"/>
      <c r="S500" s="19">
        <f>IF(A500="","",IF(COUNTIF('Email Log'!B:B,A500)&gt;0,"YES","NO"))</f>
        <v/>
      </c>
    </row>
    <row r="501">
      <c r="A501" s="20" t="n"/>
      <c r="B501" s="20" t="n"/>
      <c r="C501" s="20" t="n"/>
      <c r="D501" s="20" t="n"/>
      <c r="E501" s="20" t="n"/>
      <c r="F501" s="21" t="n"/>
      <c r="G501" s="21" t="n"/>
      <c r="H501" s="20" t="n"/>
      <c r="I501" s="22" t="n"/>
      <c r="J501" s="19">
        <f>IF(OR(F501="",G501=""),"",MAX(0,G501-F501))</f>
        <v/>
      </c>
      <c r="K501" s="23">
        <f>IF(OR(I501="",J501=""),"",I501*J501)</f>
        <v/>
      </c>
      <c r="L501" s="22" t="n"/>
      <c r="M501" s="23">
        <f>IF(K501="","",MAX(0,K501-IF(L501="",0,L501)))</f>
        <v/>
      </c>
      <c r="N501" s="20" t="n"/>
      <c r="O501" s="20" t="n"/>
      <c r="P501" s="20" t="n"/>
      <c r="Q501" s="20" t="n"/>
      <c r="R501" s="20" t="n"/>
      <c r="S501" s="19">
        <f>IF(A501="","",IF(COUNTIF('Email Log'!B:B,A501)&gt;0,"YES","NO"))</f>
        <v/>
      </c>
    </row>
    <row r="502">
      <c r="A502" s="20" t="n"/>
      <c r="B502" s="20" t="n"/>
      <c r="C502" s="20" t="n"/>
      <c r="D502" s="20" t="n"/>
      <c r="E502" s="20" t="n"/>
      <c r="F502" s="21" t="n"/>
      <c r="G502" s="21" t="n"/>
      <c r="H502" s="20" t="n"/>
      <c r="I502" s="22" t="n"/>
      <c r="J502" s="19">
        <f>IF(OR(F502="",G502=""),"",MAX(0,G502-F502))</f>
        <v/>
      </c>
      <c r="K502" s="23">
        <f>IF(OR(I502="",J502=""),"",I502*J502)</f>
        <v/>
      </c>
      <c r="L502" s="22" t="n"/>
      <c r="M502" s="23">
        <f>IF(K502="","",MAX(0,K502-IF(L502="",0,L502)))</f>
        <v/>
      </c>
      <c r="N502" s="20" t="n"/>
      <c r="O502" s="20" t="n"/>
      <c r="P502" s="20" t="n"/>
      <c r="Q502" s="20" t="n"/>
      <c r="R502" s="20" t="n"/>
      <c r="S502" s="19">
        <f>IF(A502="","",IF(COUNTIF('Email Log'!B:B,A502)&gt;0,"YES","NO"))</f>
        <v/>
      </c>
    </row>
    <row r="503">
      <c r="A503" s="20" t="n"/>
      <c r="B503" s="20" t="n"/>
      <c r="C503" s="20" t="n"/>
      <c r="D503" s="20" t="n"/>
      <c r="E503" s="20" t="n"/>
      <c r="F503" s="21" t="n"/>
      <c r="G503" s="21" t="n"/>
      <c r="H503" s="20" t="n"/>
      <c r="I503" s="22" t="n"/>
      <c r="J503" s="19">
        <f>IF(OR(F503="",G503=""),"",MAX(0,G503-F503))</f>
        <v/>
      </c>
      <c r="K503" s="23">
        <f>IF(OR(I503="",J503=""),"",I503*J503)</f>
        <v/>
      </c>
      <c r="L503" s="22" t="n"/>
      <c r="M503" s="23">
        <f>IF(K503="","",MAX(0,K503-IF(L503="",0,L503)))</f>
        <v/>
      </c>
      <c r="N503" s="20" t="n"/>
      <c r="O503" s="20" t="n"/>
      <c r="P503" s="20" t="n"/>
      <c r="Q503" s="20" t="n"/>
      <c r="R503" s="20" t="n"/>
      <c r="S503" s="19">
        <f>IF(A503="","",IF(COUNTIF('Email Log'!B:B,A503)&gt;0,"YES","NO"))</f>
        <v/>
      </c>
    </row>
  </sheetData>
  <mergeCells count="1">
    <mergeCell ref="A1:H1"/>
  </mergeCells>
  <conditionalFormatting sqref="P4:P503">
    <cfRule type="expression" priority="1" dxfId="2">
      <formula>P4="Pending"</formula>
    </cfRule>
    <cfRule type="expression" priority="2" dxfId="1">
      <formula>P4="Confirmed"</formula>
    </cfRule>
    <cfRule type="expression" priority="3" dxfId="3">
      <formula>P4="Checked-in"</formula>
    </cfRule>
    <cfRule type="expression" priority="4" dxfId="4">
      <formula>P4="Checked-out"</formula>
    </cfRule>
    <cfRule type="expression" priority="5" dxfId="0">
      <formula>P4="Cancelled"</formula>
    </cfRule>
  </conditionalFormatting>
  <dataValidations count="3">
    <dataValidation sqref="P4:P503" showDropDown="0" showInputMessage="0" showErrorMessage="0" allowBlank="1" type="list">
      <formula1>=Settings!$G$4:$G$8</formula1>
    </dataValidation>
    <dataValidation sqref="E4:E503" showDropDown="0" showInputMessage="0" showErrorMessage="0" allowBlank="1" type="list">
      <formula1>=Settings!$B$6:$B$9</formula1>
    </dataValidation>
    <dataValidation sqref="N4:N503" showDropDown="0" showInputMessage="0" showErrorMessage="0" allowBlank="1" type="list">
      <formula1>"GCash,Cash,Bank Transfer,Other"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32" customWidth="1" min="4" max="4"/>
    <col width="48" customWidth="1" min="5" max="5"/>
    <col width="14" customWidth="1" min="6" max="6"/>
    <col width="45" customWidth="1" min="7" max="7"/>
  </cols>
  <sheetData>
    <row r="1" ht="34" customHeight="1">
      <c r="A1" s="1" t="inlineStr">
        <is>
          <t>Email Log</t>
        </is>
      </c>
    </row>
    <row r="2"/>
    <row r="3">
      <c r="A3" s="12" t="inlineStr">
        <is>
          <t>Timestamp</t>
        </is>
      </c>
      <c r="B3" s="12" t="inlineStr">
        <is>
          <t>Booking ID</t>
        </is>
      </c>
      <c r="C3" s="12" t="inlineStr">
        <is>
          <t>Event</t>
        </is>
      </c>
      <c r="D3" s="12" t="inlineStr">
        <is>
          <t>Recipient</t>
        </is>
      </c>
      <c r="E3" s="12" t="inlineStr">
        <is>
          <t>Subject</t>
        </is>
      </c>
      <c r="F3" s="12" t="inlineStr">
        <is>
          <t>Result</t>
        </is>
      </c>
      <c r="G3" s="12" t="inlineStr">
        <is>
          <t>Error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0" customWidth="1" min="5" max="5"/>
    <col width="16" customWidth="1" min="6" max="6"/>
    <col width="16" customWidth="1" min="7" max="7"/>
  </cols>
  <sheetData>
    <row r="1" ht="34" customHeight="1">
      <c r="A1" s="1" t="inlineStr">
        <is>
          <t>Daily Arrivals &amp; Departures</t>
        </is>
      </c>
    </row>
    <row r="2"/>
    <row r="3">
      <c r="A3" s="2" t="inlineStr">
        <is>
          <t>Selected Date</t>
        </is>
      </c>
      <c r="B3" s="3">
        <f>TODAY()</f>
        <v/>
      </c>
      <c r="D3" s="7" t="inlineStr">
        <is>
          <t>Tip</t>
        </is>
      </c>
      <c r="E3" s="24" t="inlineStr">
        <is>
          <t>Change B3 to any date to see arrivals/departures.</t>
        </is>
      </c>
    </row>
    <row r="4"/>
    <row r="5">
      <c r="A5" s="25" t="inlineStr">
        <is>
          <t>ARRIVALS</t>
        </is>
      </c>
    </row>
    <row r="6">
      <c r="A6" s="12" t="inlineStr">
        <is>
          <t>Booking ID</t>
        </is>
      </c>
      <c r="B6" s="12" t="inlineStr">
        <is>
          <t>Guest</t>
        </is>
      </c>
      <c r="C6" s="12" t="inlineStr">
        <is>
          <t>Room</t>
        </is>
      </c>
      <c r="D6" s="12" t="inlineStr">
        <is>
          <t>Check-in</t>
        </is>
      </c>
      <c r="E6" s="12" t="inlineStr">
        <is>
          <t>Guests</t>
        </is>
      </c>
      <c r="F6" s="12" t="inlineStr">
        <is>
          <t>Status</t>
        </is>
      </c>
      <c r="G6" s="12" t="inlineStr">
        <is>
          <t>Balance</t>
        </is>
      </c>
    </row>
    <row r="7">
      <c r="A7" s="7">
        <f>IFERROR(FILTER({Reservations!A4:A503,Reservations!B4:B503,Reservations!E4:E503,Reservations!F4:F503,Reservations!H4:H503,Reservations!P4:P503,Reservations!M4:M503},Reservations!F4:F503=$B$3,Reservations!P4:P503&lt;&gt;"Cancelled"),"No arrivals")</f>
        <v/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26" t="inlineStr">
        <is>
          <t>DEPARTURES</t>
        </is>
      </c>
    </row>
    <row r="26">
      <c r="A26" s="12" t="inlineStr">
        <is>
          <t>Booking ID</t>
        </is>
      </c>
      <c r="B26" s="12" t="inlineStr">
        <is>
          <t>Guest</t>
        </is>
      </c>
      <c r="C26" s="12" t="inlineStr">
        <is>
          <t>Room</t>
        </is>
      </c>
      <c r="D26" s="12" t="inlineStr">
        <is>
          <t>Check-in</t>
        </is>
      </c>
      <c r="E26" s="12" t="inlineStr">
        <is>
          <t>Guests</t>
        </is>
      </c>
      <c r="F26" s="12" t="inlineStr">
        <is>
          <t>Status</t>
        </is>
      </c>
      <c r="G26" s="12" t="inlineStr">
        <is>
          <t>Balance</t>
        </is>
      </c>
    </row>
    <row r="27">
      <c r="A27" s="7">
        <f>IFERROR(FILTER({Reservations!A4:A503,Reservations!B4:B503,Reservations!E4:E503,Reservations!G4:G503,Reservations!H4:H503,Reservations!P4:P503,Reservations!M4:M503},Reservations!G4:G503=$B$3,Reservations!P4:P503&lt;&gt;"Cancelled"),"No departures")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4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4" customHeight="1">
      <c r="A1" s="1" t="inlineStr">
        <is>
          <t>Room Occupancy</t>
        </is>
      </c>
    </row>
    <row r="2"/>
    <row r="3">
      <c r="A3" s="2" t="inlineStr">
        <is>
          <t>Occupancy Date</t>
        </is>
      </c>
      <c r="B3" s="3">
        <f>TODAY()</f>
        <v/>
      </c>
    </row>
    <row r="4"/>
    <row r="5">
      <c r="A5" s="12" t="inlineStr">
        <is>
          <t>Room</t>
        </is>
      </c>
      <c r="B5" s="12" t="inlineStr">
        <is>
          <t>Rate/Night</t>
        </is>
      </c>
      <c r="C5" s="12" t="inlineStr">
        <is>
          <t>Capacity</t>
        </is>
      </c>
      <c r="D5" s="12" t="inlineStr">
        <is>
          <t>Occupancy</t>
        </is>
      </c>
      <c r="E5" s="12" t="inlineStr">
        <is>
          <t>Guest</t>
        </is>
      </c>
      <c r="F5" s="12" t="inlineStr">
        <is>
          <t>Booking ID</t>
        </is>
      </c>
      <c r="G5" s="12" t="inlineStr">
        <is>
          <t>Check-in</t>
        </is>
      </c>
      <c r="H5" s="12" t="inlineStr">
        <is>
          <t>Check-out</t>
        </is>
      </c>
      <c r="I5" s="12" t="inlineStr">
        <is>
          <t>Balance</t>
        </is>
      </c>
      <c r="J5" s="12" t="inlineStr">
        <is>
          <t>Room Status</t>
        </is>
      </c>
    </row>
    <row r="6">
      <c r="A6" s="7">
        <f>Settings!B6</f>
        <v/>
      </c>
      <c r="B6" s="7">
        <f>Settings!C6</f>
        <v/>
      </c>
      <c r="C6" s="7">
        <f>Settings!D6</f>
        <v/>
      </c>
      <c r="D6" s="7">
        <f>IF(COUNTIFS(Reservations!$E$4:$E$503,A6,Reservations!$F$4:$F$503,"&lt;="&amp;$B$3,Reservations!$G$4:$G$503,"&gt;"&amp;$B$3,Reservations!$P$4:$P$503,"&lt;&gt;Cancelled",Reservations!$P$4:$P$503,"&lt;&gt;Checked-out")&gt;0,"OCCUPIED","AVAILABLE")</f>
        <v/>
      </c>
      <c r="E6" s="7">
        <f>IFERROR(INDEX(Reservations!$B$4:$B$503,MATCH(1,(Reservations!$E$4:$E$503=A6)*(Reservations!$F$4:$F$503&lt;=$B$3)*(Reservations!$G$4:$G$503&gt;$B$3)*(Reservations!$P$4:$P$503&lt;&gt;"Cancelled")*(Reservations!$P$4:$P$503&lt;&gt;"Checked-out"),0)),"")</f>
        <v/>
      </c>
      <c r="F6" s="7">
        <f>IFERROR(INDEX(Reservations!$A$4:$A$503,MATCH(1,(Reservations!$E$4:$E$503=A6)*(Reservations!$F$4:$F$503&lt;=$B$3)*(Reservations!$G$4:$G$503&gt;$B$3)*(Reservations!$P$4:$P$503&lt;&gt;"Cancelled")*(Reservations!$P$4:$P$503&lt;&gt;"Checked-out"),0)),"")</f>
        <v/>
      </c>
      <c r="G6" s="7">
        <f>IFERROR(INDEX(Reservations!$F$4:$F$503,MATCH(1,(Reservations!$E$4:$E$503=A6)*(Reservations!$F$4:$F$503&lt;=$B$3)*(Reservations!$G$4:$G$503&gt;$B$3)*(Reservations!$P$4:$P$503&lt;&gt;"Cancelled")*(Reservations!$P$4:$P$503&lt;&gt;"Checked-out"),0)),"")</f>
        <v/>
      </c>
      <c r="H6" s="7">
        <f>IFERROR(INDEX(Reservations!$G$4:$G$503,MATCH(1,(Reservations!$E$4:$E$503=A6)*(Reservations!$F$4:$F$503&lt;=$B$3)*(Reservations!$G$4:$G$503&gt;$B$3)*(Reservations!$P$4:$P$503&lt;&gt;"Cancelled")*(Reservations!$P$4:$P$503&lt;&gt;"Checked-out"),0)),"")</f>
        <v/>
      </c>
      <c r="I6" s="7">
        <f>IFERROR(INDEX(Reservations!$M$4:$M$503,MATCH(1,(Reservations!$E$4:$E$503=A6)*(Reservations!$F$4:$F$503&lt;=$B$3)*(Reservations!$G$4:$G$503&gt;$B$3)*(Reservations!$P$4:$P$503&lt;&gt;"Cancelled")*(Reservations!$P$4:$P$503&lt;&gt;"Checked-out"),0)),"")</f>
        <v/>
      </c>
      <c r="J6" s="7">
        <f>IF(D6="OCCUPIED","Occupied","Available")</f>
        <v/>
      </c>
    </row>
    <row r="7">
      <c r="A7" s="7">
        <f>Settings!B7</f>
        <v/>
      </c>
      <c r="B7" s="7">
        <f>Settings!C7</f>
        <v/>
      </c>
      <c r="C7" s="7">
        <f>Settings!D7</f>
        <v/>
      </c>
      <c r="D7" s="7">
        <f>IF(COUNTIFS(Reservations!$E$4:$E$503,A7,Reservations!$F$4:$F$503,"&lt;="&amp;$B$3,Reservations!$G$4:$G$503,"&gt;"&amp;$B$3,Reservations!$P$4:$P$503,"&lt;&gt;Cancelled",Reservations!$P$4:$P$503,"&lt;&gt;Checked-out")&gt;0,"OCCUPIED","AVAILABLE")</f>
        <v/>
      </c>
      <c r="E7" s="7">
        <f>IFERROR(INDEX(Reservations!$B$4:$B$503,MATCH(1,(Reservations!$E$4:$E$503=A7)*(Reservations!$F$4:$F$503&lt;=$B$3)*(Reservations!$G$4:$G$503&gt;$B$3)*(Reservations!$P$4:$P$503&lt;&gt;"Cancelled")*(Reservations!$P$4:$P$503&lt;&gt;"Checked-out"),0)),"")</f>
        <v/>
      </c>
      <c r="F7" s="7">
        <f>IFERROR(INDEX(Reservations!$A$4:$A$503,MATCH(1,(Reservations!$E$4:$E$503=A7)*(Reservations!$F$4:$F$503&lt;=$B$3)*(Reservations!$G$4:$G$503&gt;$B$3)*(Reservations!$P$4:$P$503&lt;&gt;"Cancelled")*(Reservations!$P$4:$P$503&lt;&gt;"Checked-out"),0)),"")</f>
        <v/>
      </c>
      <c r="G7" s="7">
        <f>IFERROR(INDEX(Reservations!$F$4:$F$503,MATCH(1,(Reservations!$E$4:$E$503=A7)*(Reservations!$F$4:$F$503&lt;=$B$3)*(Reservations!$G$4:$G$503&gt;$B$3)*(Reservations!$P$4:$P$503&lt;&gt;"Cancelled")*(Reservations!$P$4:$P$503&lt;&gt;"Checked-out"),0)),"")</f>
        <v/>
      </c>
      <c r="H7" s="7">
        <f>IFERROR(INDEX(Reservations!$G$4:$G$503,MATCH(1,(Reservations!$E$4:$E$503=A7)*(Reservations!$F$4:$F$503&lt;=$B$3)*(Reservations!$G$4:$G$503&gt;$B$3)*(Reservations!$P$4:$P$503&lt;&gt;"Cancelled")*(Reservations!$P$4:$P$503&lt;&gt;"Checked-out"),0)),"")</f>
        <v/>
      </c>
      <c r="I7" s="7">
        <f>IFERROR(INDEX(Reservations!$M$4:$M$503,MATCH(1,(Reservations!$E$4:$E$503=A7)*(Reservations!$F$4:$F$503&lt;=$B$3)*(Reservations!$G$4:$G$503&gt;$B$3)*(Reservations!$P$4:$P$503&lt;&gt;"Cancelled")*(Reservations!$P$4:$P$503&lt;&gt;"Checked-out"),0)),"")</f>
        <v/>
      </c>
      <c r="J7" s="7">
        <f>IF(D7="OCCUPIED","Occupied","Available")</f>
        <v/>
      </c>
    </row>
    <row r="8">
      <c r="A8" s="7">
        <f>Settings!B8</f>
        <v/>
      </c>
      <c r="B8" s="7">
        <f>Settings!C8</f>
        <v/>
      </c>
      <c r="C8" s="7">
        <f>Settings!D8</f>
        <v/>
      </c>
      <c r="D8" s="7">
        <f>IF(COUNTIFS(Reservations!$E$4:$E$503,A8,Reservations!$F$4:$F$503,"&lt;="&amp;$B$3,Reservations!$G$4:$G$503,"&gt;"&amp;$B$3,Reservations!$P$4:$P$503,"&lt;&gt;Cancelled",Reservations!$P$4:$P$503,"&lt;&gt;Checked-out")&gt;0,"OCCUPIED","AVAILABLE")</f>
        <v/>
      </c>
      <c r="E8" s="7">
        <f>IFERROR(INDEX(Reservations!$B$4:$B$503,MATCH(1,(Reservations!$E$4:$E$503=A8)*(Reservations!$F$4:$F$503&lt;=$B$3)*(Reservations!$G$4:$G$503&gt;$B$3)*(Reservations!$P$4:$P$503&lt;&gt;"Cancelled")*(Reservations!$P$4:$P$503&lt;&gt;"Checked-out"),0)),"")</f>
        <v/>
      </c>
      <c r="F8" s="7">
        <f>IFERROR(INDEX(Reservations!$A$4:$A$503,MATCH(1,(Reservations!$E$4:$E$503=A8)*(Reservations!$F$4:$F$503&lt;=$B$3)*(Reservations!$G$4:$G$503&gt;$B$3)*(Reservations!$P$4:$P$503&lt;&gt;"Cancelled")*(Reservations!$P$4:$P$503&lt;&gt;"Checked-out"),0)),"")</f>
        <v/>
      </c>
      <c r="G8" s="7">
        <f>IFERROR(INDEX(Reservations!$F$4:$F$503,MATCH(1,(Reservations!$E$4:$E$503=A8)*(Reservations!$F$4:$F$503&lt;=$B$3)*(Reservations!$G$4:$G$503&gt;$B$3)*(Reservations!$P$4:$P$503&lt;&gt;"Cancelled")*(Reservations!$P$4:$P$503&lt;&gt;"Checked-out"),0)),"")</f>
        <v/>
      </c>
      <c r="H8" s="7">
        <f>IFERROR(INDEX(Reservations!$G$4:$G$503,MATCH(1,(Reservations!$E$4:$E$503=A8)*(Reservations!$F$4:$F$503&lt;=$B$3)*(Reservations!$G$4:$G$503&gt;$B$3)*(Reservations!$P$4:$P$503&lt;&gt;"Cancelled")*(Reservations!$P$4:$P$503&lt;&gt;"Checked-out"),0)),"")</f>
        <v/>
      </c>
      <c r="I8" s="7">
        <f>IFERROR(INDEX(Reservations!$M$4:$M$503,MATCH(1,(Reservations!$E$4:$E$503=A8)*(Reservations!$F$4:$F$503&lt;=$B$3)*(Reservations!$G$4:$G$503&gt;$B$3)*(Reservations!$P$4:$P$503&lt;&gt;"Cancelled")*(Reservations!$P$4:$P$503&lt;&gt;"Checked-out"),0)),"")</f>
        <v/>
      </c>
      <c r="J8" s="7">
        <f>IF(D8="OCCUPIED","Occupied","Available")</f>
        <v/>
      </c>
    </row>
    <row r="9">
      <c r="A9" s="7">
        <f>Settings!B9</f>
        <v/>
      </c>
      <c r="B9" s="7">
        <f>Settings!C9</f>
        <v/>
      </c>
      <c r="C9" s="7">
        <f>Settings!D9</f>
        <v/>
      </c>
      <c r="D9" s="7">
        <f>IF(COUNTIFS(Reservations!$E$4:$E$503,A9,Reservations!$F$4:$F$503,"&lt;="&amp;$B$3,Reservations!$G$4:$G$503,"&gt;"&amp;$B$3,Reservations!$P$4:$P$503,"&lt;&gt;Cancelled",Reservations!$P$4:$P$503,"&lt;&gt;Checked-out")&gt;0,"OCCUPIED","AVAILABLE")</f>
        <v/>
      </c>
      <c r="E9" s="7">
        <f>IFERROR(INDEX(Reservations!$B$4:$B$503,MATCH(1,(Reservations!$E$4:$E$503=A9)*(Reservations!$F$4:$F$503&lt;=$B$3)*(Reservations!$G$4:$G$503&gt;$B$3)*(Reservations!$P$4:$P$503&lt;&gt;"Cancelled")*(Reservations!$P$4:$P$503&lt;&gt;"Checked-out"),0)),"")</f>
        <v/>
      </c>
      <c r="F9" s="7">
        <f>IFERROR(INDEX(Reservations!$A$4:$A$503,MATCH(1,(Reservations!$E$4:$E$503=A9)*(Reservations!$F$4:$F$503&lt;=$B$3)*(Reservations!$G$4:$G$503&gt;$B$3)*(Reservations!$P$4:$P$503&lt;&gt;"Cancelled")*(Reservations!$P$4:$P$503&lt;&gt;"Checked-out"),0)),"")</f>
        <v/>
      </c>
      <c r="G9" s="7">
        <f>IFERROR(INDEX(Reservations!$F$4:$F$503,MATCH(1,(Reservations!$E$4:$E$503=A9)*(Reservations!$F$4:$F$503&lt;=$B$3)*(Reservations!$G$4:$G$503&gt;$B$3)*(Reservations!$P$4:$P$503&lt;&gt;"Cancelled")*(Reservations!$P$4:$P$503&lt;&gt;"Checked-out"),0)),"")</f>
        <v/>
      </c>
      <c r="H9" s="7">
        <f>IFERROR(INDEX(Reservations!$G$4:$G$503,MATCH(1,(Reservations!$E$4:$E$503=A9)*(Reservations!$F$4:$F$503&lt;=$B$3)*(Reservations!$G$4:$G$503&gt;$B$3)*(Reservations!$P$4:$P$503&lt;&gt;"Cancelled")*(Reservations!$P$4:$P$503&lt;&gt;"Checked-out"),0)),"")</f>
        <v/>
      </c>
      <c r="I9" s="7">
        <f>IFERROR(INDEX(Reservations!$M$4:$M$503,MATCH(1,(Reservations!$E$4:$E$503=A9)*(Reservations!$F$4:$F$503&lt;=$B$3)*(Reservations!$G$4:$G$503&gt;$B$3)*(Reservations!$P$4:$P$503&lt;&gt;"Cancelled")*(Reservations!$P$4:$P$503&lt;&gt;"Checked-out"),0)),"")</f>
        <v/>
      </c>
      <c r="J9" s="7">
        <f>IF(D9="OCCUPIED","Occupied","Available")</f>
        <v/>
      </c>
    </row>
  </sheetData>
  <mergeCells count="1">
    <mergeCell ref="A1:H1"/>
  </mergeCells>
  <conditionalFormatting sqref="D6:D9">
    <cfRule type="expression" priority="1" dxfId="0">
      <formula>D6="OCCUPIED"</formula>
    </cfRule>
    <cfRule type="expression" priority="2" dxfId="1">
      <formula>D6="AVAILABLE"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2026-08-22T01:15:53Z</dcterms:created>
  <dcterms:modified xmlns:dcterms="http://purl.org/dc/terms/" xmlns:xsi="http://www.w3.org/2001/XMLSchema-instance" xsi:type="dcterms:W3CDTF">2026-08-22T01:15:54Z</dcterms:modified>
</cp:coreProperties>
</file>